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adb.intra.admin.ch\UserHome$\ARMASUISSE-01\U80852803\config\Desktop\LÄRM\SCHIESSLÄRM\VERWALTUNG\Ausschreibung\20260313\"/>
    </mc:Choice>
  </mc:AlternateContent>
  <xr:revisionPtr revIDLastSave="0" documentId="13_ncr:1_{256F5CCB-F0C7-4BC4-8722-487276E185AE}" xr6:coauthVersionLast="47" xr6:coauthVersionMax="47" xr10:uidLastSave="{00000000-0000-0000-0000-000000000000}"/>
  <bookViews>
    <workbookView xWindow="-120" yWindow="-120" windowWidth="29040" windowHeight="15720" xr2:uid="{E80FF596-CEF6-4533-B85B-D22FEE3597E4}"/>
  </bookViews>
  <sheets>
    <sheet name="Info" sheetId="2" r:id="rId1"/>
    <sheet name="sonARMS_Demo_Day" sheetId="3" r:id="rId2"/>
    <sheet name="sonARMS_Demo_Eve" sheetId="1" r:id="rId3"/>
    <sheet name="OpData_DemoProj_A9" sheetId="4" r:id="rId4"/>
    <sheet name="OpData_DemoProj_A7" sheetId="5" r:id="rId5"/>
    <sheet name="sonARMS_Demo_A9p" sheetId="6" r:id="rId6"/>
    <sheet name="sonARMS_Demo_A7p" sheetId="7" r:id="rId7"/>
    <sheet name="sonARMS_Demo_A9X" sheetId="8" r:id="rId8"/>
    <sheet name="sonARMS_Demo_A7X"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9" l="1" a="1"/>
  <c r="G7" i="9" a="1"/>
  <c r="K11" i="9" a="1"/>
  <c r="I8" i="9" a="1"/>
  <c r="K9" i="9" a="1"/>
  <c r="J9" i="9" a="1"/>
  <c r="H3" i="9" a="1"/>
  <c r="I9" i="9" a="1"/>
  <c r="H9" i="9" a="1"/>
  <c r="H12" i="9" a="1"/>
  <c r="K10" i="9" a="1"/>
  <c r="G9" i="9" a="1"/>
  <c r="F6" i="9" a="1"/>
  <c r="I4" i="9" a="1"/>
  <c r="G12" i="9" a="1"/>
  <c r="J10" i="9" a="1"/>
  <c r="F9" i="9" a="1"/>
  <c r="I7" i="9" a="1"/>
  <c r="H4" i="9" a="1"/>
  <c r="J13" i="9" a="1"/>
  <c r="I10" i="9" a="1"/>
  <c r="H7" i="9" a="1"/>
  <c r="K5" i="9" a="1"/>
  <c r="J2" i="9" a="1"/>
  <c r="K8" i="9" a="1"/>
  <c r="F4" i="9" a="1"/>
  <c r="I2" i="9" a="1"/>
  <c r="G10" i="9" a="1"/>
  <c r="F7" i="9" a="1"/>
  <c r="I5" i="9" a="1"/>
  <c r="H2" i="9" a="1"/>
  <c r="J11" i="9" a="1"/>
  <c r="K3" i="9" a="1"/>
  <c r="F13" i="9" a="1"/>
  <c r="K6" i="9" a="1"/>
  <c r="J3" i="9" a="1"/>
  <c r="H11" i="9" a="1"/>
  <c r="J6" i="9" a="1"/>
  <c r="I3" i="9" a="1"/>
  <c r="G11" i="9" a="1"/>
  <c r="F8" i="9" a="1"/>
  <c r="F11" i="9" a="1"/>
  <c r="H6" i="9" a="1"/>
  <c r="G3" i="9" a="1"/>
  <c r="G6" i="9" a="1"/>
  <c r="F3" i="9" a="1"/>
  <c r="K13" i="9" a="1"/>
  <c r="K2" i="9" a="1"/>
  <c r="F12" i="9" a="1"/>
  <c r="G4" i="9" a="1"/>
  <c r="I13" i="9" a="1"/>
  <c r="H10" i="9" a="1"/>
  <c r="J5" i="9" a="1"/>
  <c r="H13" i="9" a="1"/>
  <c r="J8" i="9" a="1"/>
  <c r="G13" i="9" a="1"/>
  <c r="F10" i="9" a="1"/>
  <c r="H5" i="9" a="1"/>
  <c r="G2" i="9" a="1"/>
  <c r="I11" i="9" a="1"/>
  <c r="H8" i="9" a="1"/>
  <c r="G5" i="9" a="1"/>
  <c r="G8" i="9" a="1"/>
  <c r="F5" i="9" a="1"/>
  <c r="K12" i="9" a="1"/>
  <c r="I6" i="9" a="1"/>
  <c r="J12" i="9" a="1"/>
  <c r="K4" i="9" a="1"/>
  <c r="I12" i="9" a="1"/>
  <c r="K7" i="9" a="1"/>
  <c r="J4" i="9" a="1"/>
  <c r="G13" i="8" a="1"/>
  <c r="F6" i="8" a="1"/>
  <c r="G2" i="8" a="1"/>
  <c r="G12" i="8" a="1"/>
  <c r="F5" i="8" a="1"/>
  <c r="G11" i="8" a="1"/>
  <c r="F11" i="8" a="1"/>
  <c r="F7" i="8" a="1"/>
  <c r="G10" i="8" a="1"/>
  <c r="F13" i="8" a="1"/>
  <c r="G9" i="8" a="1"/>
  <c r="G5" i="8" a="1"/>
  <c r="F12" i="8" a="1"/>
  <c r="F8" i="8" a="1"/>
  <c r="F4" i="8" a="1"/>
  <c r="F3" i="8" a="1"/>
  <c r="F10" i="8" a="1"/>
  <c r="G6" i="8" a="1"/>
  <c r="F9" i="8" a="1"/>
  <c r="G8" i="8" a="1"/>
  <c r="G4" i="8" a="1"/>
  <c r="G7" i="8" a="1"/>
  <c r="G3" i="8" a="1"/>
  <c r="F2" i="8" a="1"/>
  <c r="F2" i="9" a="1"/>
  <c r="J4" i="9" l="1"/>
  <c r="K7" i="9"/>
  <c r="I12" i="9"/>
  <c r="K4" i="9"/>
  <c r="J12" i="9"/>
  <c r="I6" i="9"/>
  <c r="K12" i="9"/>
  <c r="F5" i="9"/>
  <c r="G8" i="9"/>
  <c r="M8" i="9" s="1"/>
  <c r="G5" i="9"/>
  <c r="H8" i="9"/>
  <c r="I11" i="9"/>
  <c r="O11" i="9" s="1"/>
  <c r="G2" i="9"/>
  <c r="H5" i="9"/>
  <c r="N5" i="9" s="1"/>
  <c r="F10" i="9"/>
  <c r="G13" i="9"/>
  <c r="M13" i="9" s="1"/>
  <c r="J8" i="9"/>
  <c r="P8" i="9" s="1"/>
  <c r="H13" i="9"/>
  <c r="N13" i="9" s="1"/>
  <c r="J5" i="9"/>
  <c r="P5" i="9" s="1"/>
  <c r="H10" i="9"/>
  <c r="N10" i="9" s="1"/>
  <c r="I13" i="9"/>
  <c r="O13" i="9" s="1"/>
  <c r="G4" i="9"/>
  <c r="M4" i="9" s="1"/>
  <c r="F12" i="9"/>
  <c r="K2" i="9"/>
  <c r="K13" i="9"/>
  <c r="F3" i="9"/>
  <c r="G6" i="9"/>
  <c r="G3" i="9"/>
  <c r="M3" i="9" s="1"/>
  <c r="H6" i="9"/>
  <c r="F11" i="9"/>
  <c r="F8" i="9"/>
  <c r="G11" i="9"/>
  <c r="I3" i="9"/>
  <c r="J6" i="9"/>
  <c r="H11" i="9"/>
  <c r="J3" i="9"/>
  <c r="K6" i="9"/>
  <c r="Q6" i="9" s="1"/>
  <c r="F13" i="9"/>
  <c r="K3" i="9"/>
  <c r="Q3" i="9" s="1"/>
  <c r="J11" i="9"/>
  <c r="P11" i="9" s="1"/>
  <c r="H2" i="9"/>
  <c r="N2" i="9" s="1"/>
  <c r="I5" i="9"/>
  <c r="O5" i="9" s="1"/>
  <c r="F7" i="9"/>
  <c r="G10" i="9"/>
  <c r="M10" i="9" s="1"/>
  <c r="I2" i="9"/>
  <c r="F4" i="9"/>
  <c r="K8" i="9"/>
  <c r="J2" i="9"/>
  <c r="K5" i="9"/>
  <c r="H7" i="9"/>
  <c r="I10" i="9"/>
  <c r="O10" i="9" s="1"/>
  <c r="J13" i="9"/>
  <c r="H4" i="9"/>
  <c r="I7" i="9"/>
  <c r="F9" i="9"/>
  <c r="J10" i="9"/>
  <c r="G12" i="9"/>
  <c r="I4" i="9"/>
  <c r="O4" i="9" s="1"/>
  <c r="F6" i="9"/>
  <c r="G9" i="9"/>
  <c r="M9" i="9" s="1"/>
  <c r="K10" i="9"/>
  <c r="H12" i="9"/>
  <c r="N12" i="9" s="1"/>
  <c r="H9" i="9"/>
  <c r="N9" i="9" s="1"/>
  <c r="I9" i="9"/>
  <c r="O9" i="9" s="1"/>
  <c r="H3" i="9"/>
  <c r="N3" i="9" s="1"/>
  <c r="J9" i="9"/>
  <c r="P9" i="9" s="1"/>
  <c r="K9" i="9"/>
  <c r="I8" i="9"/>
  <c r="K11" i="9"/>
  <c r="G7" i="9"/>
  <c r="J7" i="9"/>
  <c r="G3" i="8"/>
  <c r="G7" i="8"/>
  <c r="G4" i="8"/>
  <c r="G8" i="8"/>
  <c r="F9" i="8"/>
  <c r="G6" i="8"/>
  <c r="F10" i="8"/>
  <c r="F3" i="8"/>
  <c r="F4" i="8"/>
  <c r="F8" i="8"/>
  <c r="F12" i="8"/>
  <c r="G5" i="8"/>
  <c r="G9" i="8"/>
  <c r="F13" i="8"/>
  <c r="G10" i="8"/>
  <c r="F7" i="8"/>
  <c r="F11" i="8"/>
  <c r="G11" i="8"/>
  <c r="F5" i="8"/>
  <c r="G12" i="8"/>
  <c r="G2" i="8"/>
  <c r="F6" i="8"/>
  <c r="G13" i="8"/>
  <c r="F2" i="8"/>
  <c r="F2" i="9"/>
  <c r="Q12" i="9"/>
  <c r="O12" i="9"/>
  <c r="O2" i="9"/>
  <c r="M12" i="9"/>
  <c r="Q4" i="9"/>
  <c r="O3" i="9"/>
  <c r="Q10" i="9"/>
  <c r="Q2" i="9"/>
  <c r="N4" i="9"/>
  <c r="Q13" i="9"/>
  <c r="Q9" i="9"/>
  <c r="Q7" i="9"/>
  <c r="P4" i="9"/>
  <c r="Q11" i="9"/>
  <c r="P6" i="9"/>
  <c r="N6" i="9"/>
  <c r="M11" i="9"/>
  <c r="O8" i="9"/>
  <c r="N11" i="9"/>
  <c r="P10" i="9"/>
  <c r="M2" i="9"/>
  <c r="P3" i="9"/>
  <c r="N7" i="9"/>
  <c r="P12" i="9"/>
  <c r="O6" i="9"/>
  <c r="P2" i="9"/>
  <c r="P13" i="9"/>
  <c r="P7" i="9"/>
  <c r="O7" i="9"/>
  <c r="M5" i="9"/>
  <c r="Q5" i="9"/>
  <c r="N8" i="9"/>
  <c r="M6" i="9"/>
  <c r="M7" i="9"/>
  <c r="Q8" i="9"/>
  <c r="R2" i="9" a="1"/>
  <c r="H3" i="8" a="1"/>
  <c r="H13" i="8" a="1"/>
  <c r="H6" i="8" a="1"/>
  <c r="H11" i="8" a="1"/>
  <c r="H2" i="8" a="1"/>
  <c r="H7" i="8" a="1"/>
  <c r="H5" i="8" a="1"/>
  <c r="H12" i="8" a="1"/>
  <c r="H4" i="8" a="1"/>
  <c r="H8" i="8" a="1"/>
  <c r="H9" i="8" a="1"/>
  <c r="H10" i="8" a="1"/>
  <c r="R2" i="9" l="1"/>
  <c r="H10" i="8"/>
  <c r="H9" i="8"/>
  <c r="H8" i="8"/>
  <c r="H4" i="8"/>
  <c r="H12" i="8"/>
  <c r="H5" i="8"/>
  <c r="H7" i="8"/>
  <c r="H2" i="8"/>
  <c r="H11" i="8"/>
  <c r="H6" i="8"/>
  <c r="H13" i="8"/>
  <c r="H3" i="8"/>
  <c r="L10" i="9"/>
  <c r="L5" i="9"/>
  <c r="L8" i="9"/>
  <c r="L6" i="9"/>
  <c r="L12" i="9"/>
  <c r="L11" i="9"/>
  <c r="L9" i="9"/>
  <c r="L4" i="9"/>
  <c r="L13" i="9"/>
  <c r="L3" i="9"/>
  <c r="L2" i="9"/>
  <c r="L7" i="9"/>
  <c r="R3" i="9" a="1"/>
  <c r="R6" i="9" a="1"/>
  <c r="R9" i="9" a="1"/>
  <c r="R10" i="9" a="1"/>
  <c r="R7" i="9" a="1"/>
  <c r="R5" i="9" a="1"/>
  <c r="R8" i="9" a="1"/>
  <c r="R12" i="9" a="1"/>
  <c r="R11" i="9" a="1"/>
  <c r="R4" i="9" a="1"/>
  <c r="R13" i="9" a="1"/>
  <c r="R13" i="9" l="1"/>
  <c r="R4" i="9"/>
  <c r="R11" i="9"/>
  <c r="R12" i="9"/>
  <c r="R8" i="9"/>
  <c r="R5" i="9"/>
  <c r="R7" i="9"/>
  <c r="R10" i="9"/>
  <c r="R9" i="9"/>
  <c r="R6" i="9"/>
  <c r="R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<sst xmlns="http://schemas.openxmlformats.org/spreadsheetml/2006/main" count="1951" uniqueCount="458">
  <si>
    <t>---------------------------------------------------------------------------------------</t>
  </si>
  <si>
    <t xml:space="preserve">                         sonArms_Kernel - Berechnungsresultate</t>
  </si>
  <si>
    <t>Programmtyp:                       Konsolenprogramm</t>
  </si>
  <si>
    <t>Prozessor mit:                     MMX, SSE, SSE2, SSE3</t>
  </si>
  <si>
    <t>Compiler:                          Delphi 2009</t>
  </si>
  <si>
    <t xml:space="preserve">Kommandozeilenparameter:           p bmfr </t>
  </si>
  <si>
    <t>Arbeitsmodus:                      Punkt-Punkt Modus (.wlr und .wld)</t>
  </si>
  <si>
    <t>Empfänger:                            12</t>
  </si>
  <si>
    <t>Quellen:                               4</t>
  </si>
  <si>
    <t>Quellen x Empfänger:                  48</t>
  </si>
  <si>
    <t>Anzahl Meteosituationen:              15</t>
  </si>
  <si>
    <t>Warnungen zu Dateien:                  0</t>
  </si>
  <si>
    <t>Warnungen zu Gebäuden:                10</t>
  </si>
  <si>
    <t>Warnungen zu Wänden:                   0</t>
  </si>
  <si>
    <t>Warnungen zu Ballistik:                0</t>
  </si>
  <si>
    <t>Warnungen zu Anderem:                  0</t>
  </si>
  <si>
    <t>--------------------------------------------------------------</t>
  </si>
  <si>
    <t>Detailgrad: Übersicht</t>
  </si>
  <si>
    <t>Zeitgruppe: Abend</t>
  </si>
  <si>
    <t>Empfänger</t>
  </si>
  <si>
    <t>Gebäude</t>
  </si>
  <si>
    <t>Quelle</t>
  </si>
  <si>
    <t>Waffe</t>
  </si>
  <si>
    <t>Elevation</t>
  </si>
  <si>
    <t>LAE(MK)</t>
  </si>
  <si>
    <t>LAE(GK)</t>
  </si>
  <si>
    <t>LAE(Det)</t>
  </si>
  <si>
    <t>LAE</t>
  </si>
  <si>
    <t>LAFmax</t>
  </si>
  <si>
    <t>E1</t>
  </si>
  <si>
    <t>SH300-Links_Stgw90</t>
  </si>
  <si>
    <t>STGW90(5.6MMGWPAT90)</t>
  </si>
  <si>
    <t>SH300-Links_Stgw57</t>
  </si>
  <si>
    <t>STGW57*(7.5MMGP11)</t>
  </si>
  <si>
    <t>SH300-Rechts_Stgw90</t>
  </si>
  <si>
    <t>STGW90*(5.6MMGWPAT90)</t>
  </si>
  <si>
    <t>SH300-Rechts_Stgw57</t>
  </si>
  <si>
    <t>E2</t>
  </si>
  <si>
    <t>E3</t>
  </si>
  <si>
    <t>E4a</t>
  </si>
  <si>
    <t>E4b</t>
  </si>
  <si>
    <t>E4c</t>
  </si>
  <si>
    <t>E5a</t>
  </si>
  <si>
    <t>E5b</t>
  </si>
  <si>
    <t>E6</t>
  </si>
  <si>
    <t>E7</t>
  </si>
  <si>
    <t>E8</t>
  </si>
  <si>
    <t>E9</t>
  </si>
  <si>
    <t>// Projektdatei</t>
  </si>
  <si>
    <t>// ------------</t>
  </si>
  <si>
    <t>// Gespeichert von: GUIsonArms.exe V4.6.1 vom 30.06.2023, basiert auf sonArms_Kernel.exe V5.6.2 vom 30.06.2023, basiert auf CommonSource V6.6.2 vom 30.06.2023.</t>
  </si>
  <si>
    <t>¨Start¨</t>
  </si>
  <si>
    <t>¨¨¨Globale_Daten</t>
  </si>
  <si>
    <t>¨N¨</t>
  </si>
  <si>
    <t>¨¨Globale_Daten</t>
  </si>
  <si>
    <t>¨Topo¨</t>
  </si>
  <si>
    <t>Input\DTM_05m.txt¨</t>
  </si>
  <si>
    <t>#¨Topo2¨</t>
  </si>
  <si>
    <t>¨</t>
  </si>
  <si>
    <t>#¨Topo3¨</t>
  </si>
  <si>
    <t>¨Kartenbild¨</t>
  </si>
  <si>
    <t>Input\PK25.tif¨</t>
  </si>
  <si>
    <t>#¨Bild2¨</t>
  </si>
  <si>
    <t>#¨Bild3¨</t>
  </si>
  <si>
    <t>¨Primärflächen¨</t>
  </si>
  <si>
    <t>Input\Primaerflaeche2018.txt¨</t>
  </si>
  <si>
    <t>¨Gebaeude¨</t>
  </si>
  <si>
    <t>Input\Gebaeude.txt¨</t>
  </si>
  <si>
    <t>#¨Bemerkung¨</t>
  </si>
  <si>
    <t>¨¨¨Empfangspunkt</t>
  </si>
  <si>
    <t>¨¨Empfangspunkt</t>
  </si>
  <si>
    <t>¨Name¨</t>
  </si>
  <si>
    <t>E1¨</t>
  </si>
  <si>
    <t>¨Gebäude¨</t>
  </si>
  <si>
    <t>696190¨</t>
  </si>
  <si>
    <t>¨Koor¨</t>
  </si>
  <si>
    <t>E2¨</t>
  </si>
  <si>
    <t>696367¨</t>
  </si>
  <si>
    <t>E3¨</t>
  </si>
  <si>
    <t>726653¨</t>
  </si>
  <si>
    <t>E4a¨</t>
  </si>
  <si>
    <t>715459¨</t>
  </si>
  <si>
    <t>E4b¨</t>
  </si>
  <si>
    <t>E4c¨</t>
  </si>
  <si>
    <t>E5a¨</t>
  </si>
  <si>
    <t>702381¨</t>
  </si>
  <si>
    <t>E5b¨</t>
  </si>
  <si>
    <t>E6¨</t>
  </si>
  <si>
    <t>696347¨</t>
  </si>
  <si>
    <t>E7¨</t>
  </si>
  <si>
    <t>710249¨</t>
  </si>
  <si>
    <t>E8¨</t>
  </si>
  <si>
    <t>691176¨</t>
  </si>
  <si>
    <t>E9¨</t>
  </si>
  <si>
    <t>697844¨</t>
  </si>
  <si>
    <t>¨¨¨Quelle</t>
  </si>
  <si>
    <t>¨¨Quelle</t>
  </si>
  <si>
    <t>SH300-Links_Stgw90¨</t>
  </si>
  <si>
    <t>¨Ziel¨</t>
  </si>
  <si>
    <t>¨Waffe¨</t>
  </si>
  <si>
    <t>Stgw90(5.6mmGwPat90)¨</t>
  </si>
  <si>
    <t>SH300-Links_Stgw57¨</t>
  </si>
  <si>
    <t>test¨</t>
  </si>
  <si>
    <t>Stgw57*(7.5mmGP11)¨</t>
  </si>
  <si>
    <t>SH300-Rechts_Stgw90¨</t>
  </si>
  <si>
    <t>Stgw90*(5.6mmGwPat90)¨</t>
  </si>
  <si>
    <t>SH300-Rechts_Stgw57¨</t>
  </si>
  <si>
    <t>¨¨¨Schützenhaus</t>
  </si>
  <si>
    <t>¨¨Schützenhaus</t>
  </si>
  <si>
    <t>Schuetzenhaus 300m¨</t>
  </si>
  <si>
    <t>¨BaseL¨</t>
  </si>
  <si>
    <t>¨BaseR¨</t>
  </si>
  <si>
    <t>¨Tiefe¨</t>
  </si>
  <si>
    <t>¨FirstX¨</t>
  </si>
  <si>
    <t>¨FirstH¨</t>
  </si>
  <si>
    <t>¨BlendeLX¨</t>
  </si>
  <si>
    <t>¨BlendeLH¨</t>
  </si>
  <si>
    <t>¨BlendeRX¨</t>
  </si>
  <si>
    <t>¨BlendeRH¨</t>
  </si>
  <si>
    <t>¨OberflTypHaus¨</t>
  </si>
  <si>
    <t>501¨</t>
  </si>
  <si>
    <t>¨OberflTypBlendeL¨</t>
  </si>
  <si>
    <t>¨OberflTypBlendeR¨</t>
  </si>
  <si>
    <t>¨¨¨Hochblende</t>
  </si>
  <si>
    <t>¨¨¨Hindernis</t>
  </si>
  <si>
    <t>¨¨Hindernis</t>
  </si>
  <si>
    <t>GK-Wand¨</t>
  </si>
  <si>
    <t>¨Oberfltyp¨</t>
  </si>
  <si>
    <t>Hochblende¨</t>
  </si>
  <si>
    <t>¨¨¨Lärmkarte</t>
  </si>
  <si>
    <t>¨¨Lärmkarte</t>
  </si>
  <si>
    <t>Karte¨</t>
  </si>
  <si>
    <t>¨Raster¨</t>
  </si>
  <si>
    <t>¨HüBoden¨</t>
  </si>
  <si>
    <t>¨¨¨Meteosituation</t>
  </si>
  <si>
    <t>¨¨Meteosituation</t>
  </si>
  <si>
    <t>18268_N4t3a3¨</t>
  </si>
  <si>
    <t>¨MeteoFile¨</t>
  </si>
  <si>
    <t>SP_N4.txt¨</t>
  </si>
  <si>
    <t>¨Windrichtung¨</t>
  </si>
  <si>
    <t>¨Haeuf_Tag¨</t>
  </si>
  <si>
    <t>¨Haeuf_Abend¨</t>
  </si>
  <si>
    <t>¨Haeuf_Nacht¨</t>
  </si>
  <si>
    <t>¨Temp_10m¨</t>
  </si>
  <si>
    <t>¨RF_10m¨</t>
  </si>
  <si>
    <t>18268_L3t2a_¨</t>
  </si>
  <si>
    <t>SP_L3.txt¨</t>
  </si>
  <si>
    <t>18268_N3t1a1¨</t>
  </si>
  <si>
    <t>SP_N3.txt¨</t>
  </si>
  <si>
    <t>18268_N3t2a2¨</t>
  </si>
  <si>
    <t>18268_L3t3a_¨</t>
  </si>
  <si>
    <t>18268_L4t3a_¨</t>
  </si>
  <si>
    <t>SP_L4.txt¨</t>
  </si>
  <si>
    <t>18268_S3t3a3¨</t>
  </si>
  <si>
    <t>SP_S3.txt¨</t>
  </si>
  <si>
    <t>18268_S0t_a_¨</t>
  </si>
  <si>
    <t>SP_S0.txt¨</t>
  </si>
  <si>
    <t>18268_L2t2a_¨</t>
  </si>
  <si>
    <t>SP_L2.txt¨</t>
  </si>
  <si>
    <t>18268_L2t1a_¨</t>
  </si>
  <si>
    <t>18268_L3t1a_¨</t>
  </si>
  <si>
    <t>18268_L1t2a_¨</t>
  </si>
  <si>
    <t>SP_L1.txt¨</t>
  </si>
  <si>
    <t>18268_N3t3a_¨</t>
  </si>
  <si>
    <t>18268_L1t1a_¨</t>
  </si>
  <si>
    <t>18268_N2t3a3¨</t>
  </si>
  <si>
    <t>SP_N2.txt¨</t>
  </si>
  <si>
    <t>// Erstellt am:  2016-Apr-13</t>
  </si>
  <si>
    <t>// Autor:        phm</t>
  </si>
  <si>
    <t>//</t>
  </si>
  <si>
    <t>// Definition of Input and Output paths</t>
  </si>
  <si>
    <t>// -------------------------------------</t>
  </si>
  <si>
    <t>// Diese Pfade sind relativ zum *Projektverzeichnis*.</t>
  </si>
  <si>
    <t>Logdateipfad     .\Log\</t>
  </si>
  <si>
    <t>Errdateipfad     .\Log\</t>
  </si>
  <si>
    <t>Statusdateipfad  .\Log\</t>
  </si>
  <si>
    <t>OutBasicPfad     .\Out\</t>
  </si>
  <si>
    <t>OutMeteoPfad     .\Out\</t>
  </si>
  <si>
    <t>OutReflePfad     .\Out\</t>
  </si>
  <si>
    <t>OutWaldPfad      .\Out\</t>
  </si>
  <si>
    <t>OutDetailsPfad   .\Out\</t>
  </si>
  <si>
    <t>Plotpfad         .\Out\</t>
  </si>
  <si>
    <t>Parameter        .\Parameter\SonArmsParameter.txt</t>
  </si>
  <si>
    <t>// Alle Pfade unten sind relativ zum *Programmverzeichnis*.</t>
  </si>
  <si>
    <t>// Frequenztabellen</t>
  </si>
  <si>
    <t>// ----------------</t>
  </si>
  <si>
    <t>Frequenztabellen       ..\Settings\Frequencies\SonArmsFreqs.txt</t>
  </si>
  <si>
    <t>// Meteoprofile</t>
  </si>
  <si>
    <t>// In diesem Verzeichnis müssen sich die Meteoprofildateien befinden.</t>
  </si>
  <si>
    <t>Meteoprofile           ..\Settings\Meteoprofiles\</t>
  </si>
  <si>
    <t>// Oberflächen</t>
  </si>
  <si>
    <t>// -----------</t>
  </si>
  <si>
    <t>Oberflaechentypen      ..\Settings\Materials\MaterialTypes.txt</t>
  </si>
  <si>
    <t>Schallabsorption       ..\Settings\Materials\SoundAbsorption.txt</t>
  </si>
  <si>
    <t>Schalldaemmung         ..\Settings\Materials\SoundInsulation.txt</t>
  </si>
  <si>
    <t>Oberflaechenstrukturen ..\Settings\Materials\SurfaceStructures.txt</t>
  </si>
  <si>
    <t>Flaechen-DB            ..\Settings\Materials\LandUseTypes.txt</t>
  </si>
  <si>
    <t>// Waffen</t>
  </si>
  <si>
    <t>// ------</t>
  </si>
  <si>
    <t>Waffen                 ..\Settings\Weapons\WeaponDatabase2023_DeFrIt.txt</t>
  </si>
  <si>
    <t>// sonX-Parameter.txt - Reference settings for sonARMS</t>
  </si>
  <si>
    <t>// ===================================================</t>
  </si>
  <si>
    <t>/////////////////////////////////////////////////////////////////////////////////////////////////</t>
  </si>
  <si>
    <t>// Table of contents</t>
  </si>
  <si>
    <t>//===================</t>
  </si>
  <si>
    <t>// 0.) Change history since January 2015</t>
  </si>
  <si>
    <t>// 1.) General parameters for in- and output control</t>
  </si>
  <si>
    <t xml:space="preserve">// 2.) General parameters for the setup of the calculation model, sorted according the modules: </t>
  </si>
  <si>
    <t>//     Basic - Meteo - Reflect - Forest</t>
  </si>
  <si>
    <t>// 3.) Application spezific parameters for sonRAIL, sonAIR and sonROAD</t>
  </si>
  <si>
    <t>// 4.) Spezific parameters for sonARMS</t>
  </si>
  <si>
    <t>// Note: recommended parameter settings are given for the following applications:</t>
  </si>
  <si>
    <t>// ==============================================================================</t>
  </si>
  <si>
    <t>// - S = Survey (quick calculation with reduced accuracy)</t>
  </si>
  <si>
    <t>// - E = Engineering (balanced)</t>
  </si>
  <si>
    <t>// - P = Precision (high accuracy, but longer calculation times)</t>
  </si>
  <si>
    <t>// - D = Debug (with additional information for validation purposes)</t>
  </si>
  <si>
    <t>// -----------------------------------------</t>
  </si>
  <si>
    <t xml:space="preserve">// </t>
  </si>
  <si>
    <t>// 15-Apr-15: Neuer Parameter MaxWarnPercent (darf fehlen)</t>
  </si>
  <si>
    <t>// 17-Apr-15: Neuer Parameter LiftRcvBelowGround (darf fehlen; SonRail, sonAir, nicht sonArms)</t>
  </si>
  <si>
    <t>// 07-Sep-15: Neuer Parameter OutPutsSrcRcv</t>
  </si>
  <si>
    <t>// 27-Okt-15: Parameter MeteoModify erweitert auf Wert 2</t>
  </si>
  <si>
    <t>// 25-Apr-16: Neuer Parameter ResMeteoMinMax</t>
  </si>
  <si>
    <t>// 05-Dez-18: Paramweter abgeschafft: ArmsDirectAtoMaxAF</t>
  </si>
  <si>
    <t>// 07-Dez-18: Neuer Parameter ForestReflectors_Reduction</t>
  </si>
  <si>
    <t>// 25-Nov-21: Neue Parameter RockGrid und ForestGrid</t>
  </si>
  <si>
    <t>// 20-Jul-22: Neue Parameter AlateralOn und AbottomOn (sonX und sonArms)</t>
  </si>
  <si>
    <t>// 09-Sep-22: Neue Parameter ReflMaxWallSegmentHoriz und ReflMaxWallSegmentVert (sonX und sonArms)</t>
  </si>
  <si>
    <t xml:space="preserve">// 04-Mai-23: Parameter abgeschafft: LineSourcePointsDistFOREST, LineSourcePointsDistREFLECT </t>
  </si>
  <si>
    <t>//                                   LineSourcePointsDistTunnel, LineSourcePointsDistLowBASIC,</t>
  </si>
  <si>
    <t xml:space="preserve">//                                   LineSourcePointsDistUppBASIC, LineSourcePointsDistSlopeBASIC, </t>
  </si>
  <si>
    <t xml:space="preserve">//                                   LineSourcePointsDistLowMETEO, LineSourcePointsDistUppMETEO, </t>
  </si>
  <si>
    <t>//                                   LineSourcePointsDistSlopeMETEO</t>
  </si>
  <si>
    <t>// 11-Mai-23: Wechsel des sonAir....exe Programmnamens in sonX....exe.</t>
  </si>
  <si>
    <t xml:space="preserve">//            Wechsel des alten sonX Namens in CommonSource. </t>
  </si>
  <si>
    <t>// 05-Jun-23: Parameter abgeschafft: ForestRimPointsDist, MinForestDepth</t>
  </si>
  <si>
    <t>//////////////////////////////////////////////////////////////////////////////////////////////////</t>
  </si>
  <si>
    <t>//  1.) General parameters for in- and output control</t>
  </si>
  <si>
    <t>// ------------------------------------------------------------------</t>
  </si>
  <si>
    <t>InputTriage            0        S=E=P=D=0</t>
  </si>
  <si>
    <t>DxfMaxHeightGnd       80 m</t>
  </si>
  <si>
    <t>DxfMinHeightGnd    0.001 m</t>
  </si>
  <si>
    <t>DxfMaxHeightEdges     80 m</t>
  </si>
  <si>
    <t>DxfMinHeightEdges  0.001 m</t>
  </si>
  <si>
    <t>FileNameNumbers        0        S=E=P=D=0</t>
  </si>
  <si>
    <t>// ------------------------------------------------------------------------------</t>
  </si>
  <si>
    <t>PlotRelief             0        S=E=P=0 D=1</t>
  </si>
  <si>
    <t>// ----------------------------------------------------------------------------</t>
  </si>
  <si>
    <t>LogSize                1        S=E=P=1 D=2oder3</t>
  </si>
  <si>
    <t>MaxWarnPercent        10 %</t>
  </si>
  <si>
    <t>// -------------------------------------------------------------------------------------</t>
  </si>
  <si>
    <t>LinLogProfilesDelta      0.1 m</t>
  </si>
  <si>
    <t>WriteAbsMeteoProfiles      0        S=E=P=0 D=0oder1</t>
  </si>
  <si>
    <t>// --------------------------------------------------------------</t>
  </si>
  <si>
    <t>ErrorPopUp             0        S=E=P=0 D=1</t>
  </si>
  <si>
    <t xml:space="preserve">//     Basic - Meteo - Reflect - Forest </t>
  </si>
  <si>
    <t>// ==============================================================================================</t>
  </si>
  <si>
    <t>// ----------------------------------------------------------------------------------------</t>
  </si>
  <si>
    <t>OptimizeGndSeg         1        S=E=P=D=1</t>
  </si>
  <si>
    <t>HarmonoiseDist1Rmax    50 m     S=E=P=D=50</t>
  </si>
  <si>
    <t>HarmonoiseDist2Rmax   500 m     S=E=P=D=500</t>
  </si>
  <si>
    <t>HarmonoiseR1         0.25 m     S=E=P=D=0.25</t>
  </si>
  <si>
    <t>HarmonoiseR2            1 m     S=E=P=D=1</t>
  </si>
  <si>
    <t>HarmonoiseDist1Dsegm   20 m     S=E=P=D=20</t>
  </si>
  <si>
    <t>HarmonoiseDist2Dsegm  200 m     S=E=P=D=200</t>
  </si>
  <si>
    <t>HarmonoiseD1            5 m     S=E=P=D=5</t>
  </si>
  <si>
    <t>HarmonoiseD2           50 m     S=E=P=D=50</t>
  </si>
  <si>
    <t>// ----------------------------------------------------------------------</t>
  </si>
  <si>
    <t>MinDistRecBarr         0 m      S=E=P=D=0</t>
  </si>
  <si>
    <t>LiftRcvBelowGround     0 m</t>
  </si>
  <si>
    <t>// --------------------------------------------------------------------</t>
  </si>
  <si>
    <t>PathDmin            0.33 m</t>
  </si>
  <si>
    <t>// ---------------------------------------------------------------------------------</t>
  </si>
  <si>
    <t>CoherenceLoss          1        S=E=P=D=1</t>
  </si>
  <si>
    <t>// --------------------------------------------------------------------------------</t>
  </si>
  <si>
    <t>ReliefSmoothing        0        S=E=P=D=0</t>
  </si>
  <si>
    <t>// -------------------------------------------------------------------</t>
  </si>
  <si>
    <t xml:space="preserve">AatmHumidityPercent   76 %   </t>
  </si>
  <si>
    <t>AatmMilliBar        1013 mBar</t>
  </si>
  <si>
    <t>// -----------------------------------------------------------------------------------</t>
  </si>
  <si>
    <t>AatmDelta            100 m</t>
  </si>
  <si>
    <t>AatmOnlyBASIC          0</t>
  </si>
  <si>
    <t>// ------------------------------------------------------------------------</t>
  </si>
  <si>
    <t>FlowResSigma         300</t>
  </si>
  <si>
    <t>ForestHeight          20 m</t>
  </si>
  <si>
    <t>FoliageDistLimit     200 m</t>
  </si>
  <si>
    <t>// -----------------------------------------------------------------</t>
  </si>
  <si>
    <t>// ------------------------------------------------------------------------------------------------------------</t>
  </si>
  <si>
    <t>SingleBarrierMaxAtt        25 dB</t>
  </si>
  <si>
    <t>MultiBarrierMaxAtt         25 dB</t>
  </si>
  <si>
    <t>NegZobstacles               1</t>
  </si>
  <si>
    <t>DeltaSlope                0.1</t>
  </si>
  <si>
    <t>// Raytracing</t>
  </si>
  <si>
    <t>// ----------</t>
  </si>
  <si>
    <t>RtDeltaX               2 m      S=E=P=D=2</t>
  </si>
  <si>
    <t>SimpleMeteo            1        S=E=P=D=1</t>
  </si>
  <si>
    <t>MeteoDmax             15 dB</t>
  </si>
  <si>
    <t>MeteoDmin            -20 dB</t>
  </si>
  <si>
    <t>// --------------------------------------------------------------------------------------------</t>
  </si>
  <si>
    <t>ReflMaxWallSegmentHoriz        10 m</t>
  </si>
  <si>
    <t>ReflMaxWallSegmentVert          3 m</t>
  </si>
  <si>
    <t>ReflUebergangsFrequenz          1         S=1 (only incoherent) E=1 P=300 D=300</t>
  </si>
  <si>
    <t>ReflSpacingFactorKohaerent   0.11         S=E=P=D=0.11</t>
  </si>
  <si>
    <t>ReflSpacingInkohaerent        1.0         S=E=P=D=1</t>
  </si>
  <si>
    <t>ReflIterationsWalls             2         S=1 E=2 P=3 D=2</t>
  </si>
  <si>
    <t xml:space="preserve">ReflMaxDist                   300 m       S=200 E=D=300 P=500 </t>
  </si>
  <si>
    <t>ReflLimit</t>
  </si>
  <si>
    <t>SourceConst                   100</t>
  </si>
  <si>
    <t>ReflLogVisibility               0</t>
  </si>
  <si>
    <t>// ---------------------------------------------------------------------------------------------</t>
  </si>
  <si>
    <t>maxDistForestPropagation    2000 m                          S=1000 E=2000 P=5000 D=2000</t>
  </si>
  <si>
    <t>maxDistRockPropagation      3000 m                          S=1500 E=3000 P=5000 D=3000</t>
  </si>
  <si>
    <t>minDistRockReflector          20 m                          S=E=P=D=20</t>
  </si>
  <si>
    <t>RasterRatioRock               10 times RockGrid             S=E=5=5=5</t>
  </si>
  <si>
    <t>RockGrid                       5 m</t>
  </si>
  <si>
    <t>ForestGrid                    25 m</t>
  </si>
  <si>
    <t>DiffusThreshold              0.2                            S=0.3 E=D=0.2 P=0.1</t>
  </si>
  <si>
    <t>LogReflectionPoints            0                            S=E=P=0 D=1</t>
  </si>
  <si>
    <t>CliffReflectorsOn              1                            S=E=P=D=1</t>
  </si>
  <si>
    <t>ForestReflectorsOn             1                            S=E=P=D=1</t>
  </si>
  <si>
    <t>ForestReflectors_NrOfSpheres 350</t>
  </si>
  <si>
    <t>ForestReflectors_Reduction     3</t>
  </si>
  <si>
    <t>// ====================================================================</t>
  </si>
  <si>
    <t>OutPutsDetail          0        S=E=P=0 D=1</t>
  </si>
  <si>
    <t>OutPutsSummary         1        S=E=P=1 D=1</t>
  </si>
  <si>
    <t>OutputDbPrecision      2        S=E=P=D=2</t>
  </si>
  <si>
    <t xml:space="preserve">SourceDimension            0 m      (sonAIR: 50 m) </t>
  </si>
  <si>
    <t>// ====================================</t>
  </si>
  <si>
    <t>ArmsWriteInternalData        0  S=E=P=0 D=1</t>
  </si>
  <si>
    <t>ArmsWriteDetailsP            1  S=E=P=0 D=1</t>
  </si>
  <si>
    <t>ArmsWriteDetailsR            0  S=E=P=0 D=1</t>
  </si>
  <si>
    <t>ArmsWriteTimeResponse        0  S=E=P=0 D=1</t>
  </si>
  <si>
    <t>DeleteOutput                 0  S=E=P=1 D=0</t>
  </si>
  <si>
    <t>LogDominantReflector         0  S=E=P=0 D=1</t>
  </si>
  <si>
    <t>ArmsTimeResponseStep     0.010  (=10ms)</t>
  </si>
  <si>
    <t>ArmsTimeResponseLength     600  (600 x ArmsTimeResponseStep = 6 sec total time)</t>
  </si>
  <si>
    <t>Zeitgruppe: Tag</t>
  </si>
  <si>
    <t>END</t>
  </si>
  <si>
    <t>---</t>
  </si>
  <si>
    <t>//---------------------------------</t>
  </si>
  <si>
    <t>Abend</t>
  </si>
  <si>
    <t>Tag</t>
  </si>
  <si>
    <t>/////////////////////////////////////////////////////////////////////</t>
  </si>
  <si>
    <t>// -----------------------------------</t>
  </si>
  <si>
    <t>// Betriebsdaten-Textformat für LSV A9</t>
  </si>
  <si>
    <t>//----</t>
  </si>
  <si>
    <t>SonnHalbtage</t>
  </si>
  <si>
    <t>WerkHalbtage</t>
  </si>
  <si>
    <t>WKf</t>
  </si>
  <si>
    <t>WKe</t>
  </si>
  <si>
    <t>WKd</t>
  </si>
  <si>
    <t>WKc</t>
  </si>
  <si>
    <t>WKb</t>
  </si>
  <si>
    <t>WKa</t>
  </si>
  <si>
    <t>// Autor Exportroutine: J.M. Wunderli, Empa Dübendorf, Abt. Akustik</t>
  </si>
  <si>
    <t>// Automatisch erzeugt aus: Operational data demo project.xlsm</t>
  </si>
  <si>
    <t>// 16.04.2015, 13:45:50</t>
  </si>
  <si>
    <t>// ================================</t>
  </si>
  <si>
    <t>// sonARMS Betriebsdaten für LSV A7</t>
  </si>
  <si>
    <t>Kommentare</t>
  </si>
  <si>
    <t>Die Berechnungsresultate stammen aus dem Demo project, welches mit sonARMS ausgeliefert wird.</t>
  </si>
  <si>
    <t>Die beiden grün hinterlegten Files sind Original WLR-Dateien, die beiden orange hinterlegten Files sind Betriebsdaten-Dateien für die beiden Anhänge, wie sie von sonARMS erzeugt bzw. eingelesen werden.</t>
  </si>
  <si>
    <t>Gestartet:                         11.09.2024 12:14:51</t>
  </si>
  <si>
    <t>Beendet:                           11.09.2024 12:17:54</t>
  </si>
  <si>
    <t>Zeit seit Programmstart:           00:03:02</t>
  </si>
  <si>
    <t>Version Rechenkern:                sonArms_Kernel.exe V5.7.B vom 03.07.2024</t>
  </si>
  <si>
    <t>Basiert auf sonX:                  V6.7.B vom 03.07.2024</t>
  </si>
  <si>
    <t>Projektdatei:                      C:\EmpaDaten\sonARMS2024_MIL\Demo project\sonARMS_Demo.WLP</t>
  </si>
  <si>
    <t>Resultatdatei:                     C:\EmpaDaten\sonARMS2024_MIL\Demo project\.\Out\sonARMS_Demo_Eve.wlr</t>
  </si>
  <si>
    <t>Warnungen zu Raytracing:              22</t>
  </si>
  <si>
    <t xml:space="preserve">              C:\EmpaDaten\sonARMS2024_MIL\Demo project\sonARMS_Demo.WLP</t>
  </si>
  <si>
    <t xml:space="preserve">               C:\EmpaDaten\sonARMS2024_MIL\Kernel\Bin\PathsSonArms.txt</t>
  </si>
  <si>
    <t xml:space="preserve">      C:\EmpaDaten\sonARMS2024_MIL\Demo project\.\Parameter\SonArmsParameter.txt</t>
  </si>
  <si>
    <t>// 24-Aug-15: Neuer Parameter AatmCorrBroadBand (Luftdämpfung nicht für Terzbandmittenfrequenz)</t>
  </si>
  <si>
    <t>// 30-Mai-23: Neuer Parameter LaneWidth für sonX</t>
  </si>
  <si>
    <t>// 18-Jun-24: Neuer Parameter AtransmOn</t>
  </si>
  <si>
    <t>LinLogProfilesHeight     100 m                (für Flugzeuge auf 300 m setzen)</t>
  </si>
  <si>
    <t>MaxThreads             512 (gilt für sonARMS, für übrige Anwendungen auf 0 setzen)</t>
  </si>
  <si>
    <t xml:space="preserve">AccelTrigonom     16384 </t>
  </si>
  <si>
    <t xml:space="preserve">AccelWofz     2000 </t>
  </si>
  <si>
    <t xml:space="preserve">AatmGradCelsius        8 °C  </t>
  </si>
  <si>
    <t>AatmCorrBroadBand      0       (für Flugzeuge auf 1 setzen)</t>
  </si>
  <si>
    <t>AatmMorePrecision      0       (für Flugzeuge auf 1 setzen)</t>
  </si>
  <si>
    <t>AatmMaxHeight       1000 m     (für Flugzeuge auf 10000 m setzen)</t>
  </si>
  <si>
    <t>TerrainTypeGrid        1 m      S=10 E=5 P=D=2</t>
  </si>
  <si>
    <t>TerrainTypeGridLarge  50 m      (für sonARMS nicht aktiv)</t>
  </si>
  <si>
    <t>MaxDistance         2000 m     (für Flugzeuge gleich setzen wie MaxAttenuationDistance, siehe Reduktionsdatei)</t>
  </si>
  <si>
    <t>BarrierUsePierce            1       (für Flugzeuge auf 0 setzen)</t>
  </si>
  <si>
    <t>AdditionalGroundReflections 1       (für Flugzeuge auf 0 setzen)</t>
  </si>
  <si>
    <t>AlateralOn                  1       (für Flugzeuge auf 0 setzen)</t>
  </si>
  <si>
    <t>AbottomOn                   1       (für Flugzeuge auf 0 setzen)</t>
  </si>
  <si>
    <t>AtransmOn                   1       (für Flugzeuge auf 0 setzen)</t>
  </si>
  <si>
    <t>MeteoModify            2        S=E=P=D=2       (für Flugzeuge auf 2 setzen)</t>
  </si>
  <si>
    <t>ReflZugskoerper                 0         S=0 E=0 P=0 D=0          (für Eisenbahn auf 1 setzen)</t>
  </si>
  <si>
    <t>maxRockReflAngle          1.3963 corresponds to 80°         S=E=P=D=1.3963</t>
  </si>
  <si>
    <t>ForestMaxHorAngle      1.5707963 = Pi/2 = 90°               S=E=P=D=1.5707963</t>
  </si>
  <si>
    <t>//ForestReflectors_Reduction     1           zur Probe Versuch 4</t>
  </si>
  <si>
    <t>AirAttenuationOutput       0        (für sonARMS nicht aktiv)</t>
  </si>
  <si>
    <t>OutPutsSrcRcv              0        S=E=P=0 D=1      (Nur für Fluglärm sinnvoll, für sonARMS nicht aktiv)</t>
  </si>
  <si>
    <t>LaneWidth                7.5 m      (Nur für Strassenquellen aktiv, in sonARMS nicht aktiv)</t>
  </si>
  <si>
    <t>MaxTargetDeviation        1000</t>
  </si>
  <si>
    <t>REFLECTwithMETEO             2            S=E=P=D=2  (nur für sonARMS aktiv)</t>
  </si>
  <si>
    <t>ResMeteoMinMax               0           (nur für sonARMS aktiv)</t>
  </si>
  <si>
    <t>Abuild                     0.0 dB        (nur für sonARMS aktiv)</t>
  </si>
  <si>
    <t>Resultatdatei:                     C:\EmpaDaten\sonARMS2024_MIL\Demo project\.\Out\sonARMS_Demo_Day.wlr</t>
  </si>
  <si>
    <t>Ausgeführt:              05.09.2025 15:13:03</t>
  </si>
  <si>
    <t>EXE Version:             V2.5.4 30-Jun-23</t>
  </si>
  <si>
    <t xml:space="preserve"> mit Anzahl Quellen:     4</t>
  </si>
  <si>
    <t>Input Abend:             C:\EmpaDaten\sonARMS2025_MIL\Demo project\Out\sonARMS_Demo_Eve.wlr</t>
  </si>
  <si>
    <t>Input Tag:               C:\EmpaDaten\sonARMS2025_MIL\Demo project\Out\sonARMS_Demo_Day.wlr</t>
  </si>
  <si>
    <t>Input Betriebsdaten:     C:\EmpaDaten\sonARMS2025_MIL\Demo project\Operational Data\OpData_DemoProj_A9.txt</t>
  </si>
  <si>
    <t>Input Grenzwerte:        C:\EmpaDaten\sonARMS2025_MIL\GUI\.\GrenzwerteA9.txt</t>
  </si>
  <si>
    <t>Input Gebäudedaten:      C:\EmpaDaten\sonARMS2025_MIL\Demo project\Input\Gebaeude.txt</t>
  </si>
  <si>
    <t>Verzeichnis:             C:\EmpaDaten\sonARMS2025_MIL\Kernel\Bin\</t>
  </si>
  <si>
    <t>Resultattyp:             LSV A9 Punkt</t>
  </si>
  <si>
    <t>Nutzung</t>
  </si>
  <si>
    <t>Ort</t>
  </si>
  <si>
    <t>Plz</t>
  </si>
  <si>
    <t>Adresse</t>
  </si>
  <si>
    <t>ES</t>
  </si>
  <si>
    <t>Gemeinde</t>
  </si>
  <si>
    <t>GebName</t>
  </si>
  <si>
    <t>UeberAW</t>
  </si>
  <si>
    <t>UeberIGW</t>
  </si>
  <si>
    <t>UeberPW</t>
  </si>
  <si>
    <t>Lr</t>
  </si>
  <si>
    <t>LAE2</t>
  </si>
  <si>
    <t>LAE1</t>
  </si>
  <si>
    <t>h</t>
  </si>
  <si>
    <t>y</t>
  </si>
  <si>
    <t>x</t>
  </si>
  <si>
    <t>Empfangspunkt</t>
  </si>
  <si>
    <t>Ausgeführt:              05.09.2025 15:12:31</t>
  </si>
  <si>
    <t>Input Abend:             C:\EmpaDaten\sonARMS2025_MIL\Demo project\Out\sonARMS_Demo_Day.wlr</t>
  </si>
  <si>
    <t>Input Betriebsdaten:     C:\EmpaDaten\sonARMS2025_MIL\Demo project\Operational Data\OpData_DemoProj_A7.txt</t>
  </si>
  <si>
    <t>Input Grenzwerte:        C:\EmpaDaten\sonARMS2025_MIL\GUI\.\GrenzwerteA7.txt</t>
  </si>
  <si>
    <t>Gewichtung Abend:        0 %</t>
  </si>
  <si>
    <t>Gewichtung Tag:          100 %</t>
  </si>
  <si>
    <t>Resultattyp:             LSV A7 Punkt</t>
  </si>
  <si>
    <t>Lri(f)</t>
  </si>
  <si>
    <t>Lri(e)</t>
  </si>
  <si>
    <t>Lri(d)</t>
  </si>
  <si>
    <t>Lri(c)</t>
  </si>
  <si>
    <t>Lri(b)</t>
  </si>
  <si>
    <t>Lri(a)</t>
  </si>
  <si>
    <t>Li(f)</t>
  </si>
  <si>
    <t>Li(e)</t>
  </si>
  <si>
    <t>Li(d)</t>
  </si>
  <si>
    <t>Li(c)</t>
  </si>
  <si>
    <t>Li(b)</t>
  </si>
  <si>
    <t>Li(a)</t>
  </si>
  <si>
    <t>Die beiden blau hinterlegten Files sind die Resultat-Dateien, erzeugt mit sonARMS</t>
  </si>
  <si>
    <t>Die beiden rot hinterlegten Reiter zeigen die Berechnung der Beurteilungspegel in Excel</t>
  </si>
  <si>
    <t>Zur Umsetzung:</t>
  </si>
  <si>
    <t>(Ich habe aber der Einfachheit halber existierende Funktionen für mich verwendet.)</t>
  </si>
  <si>
    <t>sonARMS_Demo_A9X: Spalte F und G für A9: Das kann mathematisch vereinfacht werden: Zuerst wird ein gewichtetes energetisches Mittel gerechnet und danach mit der Anzahl Schuss hochgerechnet. Hier kann das Teilen und Multiplizieren mit der Anzahl gekürzt werden.</t>
  </si>
  <si>
    <t>sonARMS_Demo_A7X: Das Beispiel hat keine anderen Waffenkategorien als a). Die Teilbeurteilungspegel der anderen Kategorien werden aber analog berechnet. Am Schluss müssen die Teilbeurteilungspegel energetisch addiert werden. Das ist im Excel so vorgesehen.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</si>
</sst>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0"/>
      <color theme="1"/>
      <name val="Segoe UI"/>
      <family val="2"/>
    </font>
    <font>
      <sz val="10"/>
      <color theme="1"/>
      <name val="Segoe UI"/>
      <family val="2"/>
    </font>
    <font>
      <sz val="18"/>
      <color theme="3"/>
      <name val="Aptos Display"/>
      <family val="2"/>
      <scheme val="major"/>
    </font>
    <font>
      <b/>
      <sz val="15"/>
      <color theme="3"/>
      <name val="Segoe UI"/>
      <family val="2"/>
    </font>
    <font>
      <b/>
      <sz val="13"/>
      <color theme="3"/>
      <name val="Segoe UI"/>
      <family val="2"/>
    </font>
    <font>
      <b/>
      <sz val="11"/>
      <color theme="3"/>
      <name val="Segoe UI"/>
      <family val="2"/>
    </font>
    <font>
      <sz val="10"/>
      <color rgb="FF006100"/>
      <name val="Segoe UI"/>
      <family val="2"/>
    </font>
    <font>
      <sz val="10"/>
      <color rgb="FF9C0006"/>
      <name val="Segoe UI"/>
      <family val="2"/>
    </font>
    <font>
      <sz val="10"/>
      <color rgb="FF9C5700"/>
      <name val="Segoe UI"/>
      <family val="2"/>
    </font>
    <font>
      <sz val="10"/>
      <color rgb="FF3F3F76"/>
      <name val="Segoe UI"/>
      <family val="2"/>
    </font>
    <font>
      <b/>
      <sz val="10"/>
      <color rgb="FF3F3F3F"/>
      <name val="Segoe UI"/>
      <family val="2"/>
    </font>
    <font>
      <b/>
      <sz val="10"/>
      <color rgb="FFFA7D00"/>
      <name val="Segoe UI"/>
      <family val="2"/>
    </font>
    <font>
      <sz val="10"/>
      <color rgb="FFFA7D00"/>
      <name val="Segoe UI"/>
      <family val="2"/>
    </font>
    <font>
      <b/>
      <sz val="10"/>
      <color theme="0"/>
      <name val="Segoe UI"/>
      <family val="2"/>
    </font>
    <font>
      <sz val="10"/>
      <color rgb="FFFF0000"/>
      <name val="Segoe UI"/>
      <family val="2"/>
    </font>
    <font>
      <i/>
      <sz val="10"/>
      <color rgb="FF7F7F7F"/>
      <name val="Segoe UI"/>
      <family val="2"/>
    </font>
    <font>
      <b/>
      <sz val="10"/>
      <color theme="1"/>
      <name val="Segoe UI"/>
      <family val="2"/>
    </font>
    <font>
      <sz val="10"/>
      <color theme="0"/>
      <name val="Segoe U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6" fillId="0" borderId="0" xfId="0" applyFont="1"/>
    <xf numFmtId="2" fontId="16" fillId="0" borderId="0" xfId="0" applyNumberFormat="1" applyFont="1"/>
    <xf numFmtId="2" fontId="0" fillId="0" borderId="0" xfId="0" applyNumberFormat="1"/>
    <xf numFmtId="164" fontId="16" fillId="0" borderId="0" xfId="0" applyNumberFormat="1" applyFont="1"/>
  </cellXfs>
  <cellStyles count="42">
    <cellStyle name="20 % - Akzent1" xfId="19" builtinId="30" customBuiltin="1"/>
    <cellStyle name="20 % - Akzent2" xfId="23" builtinId="34" customBuiltin="1"/>
    <cellStyle name="20 % - Akzent3" xfId="27" builtinId="38" customBuiltin="1"/>
    <cellStyle name="20 % - Akzent4" xfId="31" builtinId="42" customBuiltin="1"/>
    <cellStyle name="20 % - Akzent5" xfId="35" builtinId="46" customBuiltin="1"/>
    <cellStyle name="20 % - Akzent6" xfId="39" builtinId="50" customBuiltin="1"/>
    <cellStyle name="40 % - Akzent1" xfId="20" builtinId="31" customBuiltin="1"/>
    <cellStyle name="40 % - Akzent2" xfId="24" builtinId="35" customBuiltin="1"/>
    <cellStyle name="40 % - Akzent3" xfId="28" builtinId="39" customBuiltin="1"/>
    <cellStyle name="40 % - Akzent4" xfId="32" builtinId="43" customBuiltin="1"/>
    <cellStyle name="40 % - Akzent5" xfId="36" builtinId="47" customBuiltin="1"/>
    <cellStyle name="40 % - Akzent6" xfId="40" builtinId="51" customBuiltin="1"/>
    <cellStyle name="60 % - Akzent1" xfId="21" builtinId="32" customBuiltin="1"/>
    <cellStyle name="60 % - Akzent2" xfId="25" builtinId="36" customBuiltin="1"/>
    <cellStyle name="60 % - Akzent3" xfId="29" builtinId="40" customBuiltin="1"/>
    <cellStyle name="60 % - Akzent4" xfId="33" builtinId="44" customBuiltin="1"/>
    <cellStyle name="60 % - Akzent5" xfId="37" builtinId="48" customBuiltin="1"/>
    <cellStyle name="60 % - Akzent6" xfId="41" builtinId="52" customBuiltin="1"/>
    <cellStyle name="Akzent1" xfId="18" builtinId="29" customBuiltin="1"/>
    <cellStyle name="Akzent2" xfId="22" builtinId="33" customBuiltin="1"/>
    <cellStyle name="Akzent3" xfId="26" builtinId="37" customBuiltin="1"/>
    <cellStyle name="Akzent4" xfId="30" builtinId="41" customBuiltin="1"/>
    <cellStyle name="Akzent5" xfId="34" builtinId="45" customBuiltin="1"/>
    <cellStyle name="Akzent6" xfId="38" builtinId="49" customBuiltin="1"/>
    <cellStyle name="Ausgabe" xfId="10" builtinId="21" customBuiltin="1"/>
    <cellStyle name="Berechnung" xfId="11" builtinId="22" customBuiltin="1"/>
    <cellStyle name="Eingabe" xfId="9" builtinId="20" customBuiltin="1"/>
    <cellStyle name="Ergebnis" xfId="17" builtinId="25" customBuiltin="1"/>
    <cellStyle name="Erklärender Text" xfId="16" builtinId="53" customBuiltin="1"/>
    <cellStyle name="Gut" xfId="6" builtinId="26" customBuiltin="1"/>
    <cellStyle name="Neutral" xfId="8" builtinId="28" customBuiltin="1"/>
    <cellStyle name="Notiz" xfId="15" builtinId="10" customBuiltin="1"/>
    <cellStyle name="Schlecht" xfId="7" builtinId="27" customBuiltin="1"/>
    <cellStyle name="Standard" xfId="0" builtinId="0"/>
    <cellStyle name="Überschrift" xfId="1" builtinId="15" customBuiltin="1"/>
    <cellStyle name="Überschrift 1" xfId="2" builtinId="16" customBuiltin="1"/>
    <cellStyle name="Überschrift 2" xfId="3" builtinId="17" customBuiltin="1"/>
    <cellStyle name="Überschrift 3" xfId="4" builtinId="18" customBuiltin="1"/>
    <cellStyle name="Überschrift 4" xfId="5" builtinId="19" customBuiltin="1"/>
    <cellStyle name="Verknüpfte Zelle" xfId="12" builtinId="24" customBuiltin="1"/>
    <cellStyle name="Warnender Text" xfId="14" builtinId="11" customBuiltin="1"/>
    <cellStyle name="Zelle überprüfen" xfId="13" builtinId="23"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33712-E617-42CF-B7FF-E8D7D7E791C3}">
  <sheetPr codeName="Tabelle1">
    <tabColor rgb="FFFFFF00"/>
  </sheetPr>
  <dimension ref="A1:B12"/>
  <sheetViews>
    <sheetView tabSelected="1" workbookViewId="0">
      <selection activeCell="G20" sqref="G20"/>
    </sheetView>
  </sheetViews>
  <sheetFormatPr baseColWidth="10" defaultRowHeight="14.25" x14ac:dyDescent="0.25"/>
  <sheetData>
    <row r="1" spans="1:2" x14ac:dyDescent="0.25">
      <c r="A1" s="1" t="s">
        <v>360</v>
      </c>
    </row>
    <row r="3" spans="1:2" x14ac:dyDescent="0.25">
      <c r="A3" t="s">
        <v>361</v>
      </c>
    </row>
    <row r="4" spans="1:2" x14ac:dyDescent="0.25">
      <c r="A4" t="s">
        <v>362</v>
      </c>
    </row>
    <row r="5" spans="1:2" x14ac:dyDescent="0.25">
      <c r="A5" t="s">
        <v>452</v>
      </c>
    </row>
    <row r="6" spans="1:2" x14ac:dyDescent="0.25">
      <c r="A6" t="s">
        <v>453</v>
      </c>
    </row>
    <row r="8" spans="1:2" x14ac:dyDescent="0.25">
      <c r="A8" t="s">
        <v>454</v>
      </c>
    </row>
    <row r="9" spans="1:2" x14ac:dyDescent="0.25">
      <c r="A9" t="s">
        <v>456</v>
      </c>
    </row>
    <row r="10" spans="1:2" x14ac:dyDescent="0.25">
      <c r="B10" t="s">
        <v>455</v>
      </c>
    </row>
    <row r="12" spans="1:2" x14ac:dyDescent="0.25">
      <c r="A12" t="s">
        <v>457</v>
      </c>
    </row>
  </sheetData>
  <pageMargins left="0.7" right="0.7" top="0.78740157499999996" bottom="0.78740157499999996" header="0.3" footer="0.3"/>
  <pageSetup paperSize="9" orientation="portrait" r:id="rId1"/>
  <customProperties>
    <customPr name="EpmWorksheetKeyString_GUID" r:id="rId2"/>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17DC7-A62D-4ED1-9264-3C594EDBCCB6}">
  <sheetPr codeName="Tabelle2">
    <tabColor theme="6" tint="0.79998168889431442"/>
  </sheetPr>
  <dimension ref="A1:J713"/>
  <sheetViews>
    <sheetView topLeftCell="A9" workbookViewId="0">
      <selection activeCell="C39" sqref="C39:C42"/>
    </sheetView>
  </sheetViews>
  <sheetFormatPr baseColWidth="10" defaultRowHeight="14.25" x14ac:dyDescent="0.25"/>
  <cols>
    <col min="3" max="3" width="19.28515625" bestFit="1" customWidth="1"/>
  </cols>
  <sheetData>
    <row r="1" spans="1:1" x14ac:dyDescent="0.25">
      <c r="A1" t="s">
        <v>0</v>
      </c>
    </row>
    <row r="2" spans="1:1" x14ac:dyDescent="0.25">
      <c r="A2" t="s">
        <v>1</v>
      </c>
    </row>
    <row r="3" spans="1:1" x14ac:dyDescent="0.25">
      <c r="A3" t="s">
        <v>0</v>
      </c>
    </row>
    <row r="4" spans="1:1" x14ac:dyDescent="0.25">
      <c r="A4" t="s">
        <v>363</v>
      </c>
    </row>
    <row r="5" spans="1:1" x14ac:dyDescent="0.25">
      <c r="A5" t="s">
        <v>364</v>
      </c>
    </row>
    <row r="6" spans="1:1" x14ac:dyDescent="0.25">
      <c r="A6" t="s">
        <v>365</v>
      </c>
    </row>
    <row r="7" spans="1:1" x14ac:dyDescent="0.25">
      <c r="A7" t="s">
        <v>366</v>
      </c>
    </row>
    <row r="8" spans="1:1" x14ac:dyDescent="0.25">
      <c r="A8" t="s">
        <v>367</v>
      </c>
    </row>
    <row r="9" spans="1:1" x14ac:dyDescent="0.25">
      <c r="A9" t="s">
        <v>2</v>
      </c>
    </row>
    <row r="10" spans="1:1" x14ac:dyDescent="0.25">
      <c r="A10" t="s">
        <v>3</v>
      </c>
    </row>
    <row r="11" spans="1:1" x14ac:dyDescent="0.25">
      <c r="A11" t="s">
        <v>4</v>
      </c>
    </row>
    <row r="12" spans="1:1" x14ac:dyDescent="0.25">
      <c r="A12" t="s">
        <v>368</v>
      </c>
    </row>
    <row r="13" spans="1:1" x14ac:dyDescent="0.25">
      <c r="A13" t="s">
        <v>405</v>
      </c>
    </row>
    <row r="14" spans="1:1" x14ac:dyDescent="0.25">
      <c r="A14" t="s">
        <v>5</v>
      </c>
    </row>
    <row r="15" spans="1:1" x14ac:dyDescent="0.25">
      <c r="A15" t="s">
        <v>6</v>
      </c>
    </row>
    <row r="16" spans="1:1" x14ac:dyDescent="0.25">
      <c r="A16" t="s">
        <v>7</v>
      </c>
    </row>
    <row r="17" spans="1:1" x14ac:dyDescent="0.25">
      <c r="A17" t="s">
        <v>8</v>
      </c>
    </row>
    <row r="18" spans="1:1" x14ac:dyDescent="0.25">
      <c r="A18" t="s">
        <v>9</v>
      </c>
    </row>
    <row r="19" spans="1:1" x14ac:dyDescent="0.25">
      <c r="A19" t="s">
        <v>10</v>
      </c>
    </row>
    <row r="20" spans="1:1" x14ac:dyDescent="0.25">
      <c r="A20" t="s">
        <v>11</v>
      </c>
    </row>
    <row r="21" spans="1:1" x14ac:dyDescent="0.25">
      <c r="A21" t="s">
        <v>12</v>
      </c>
    </row>
    <row r="22" spans="1:1" x14ac:dyDescent="0.25">
      <c r="A22" t="s">
        <v>13</v>
      </c>
    </row>
    <row r="23" spans="1:1" x14ac:dyDescent="0.25">
      <c r="A23" t="s">
        <v>370</v>
      </c>
    </row>
    <row r="24" spans="1:1" x14ac:dyDescent="0.25">
      <c r="A24" t="s">
        <v>14</v>
      </c>
    </row>
    <row r="25" spans="1:1" x14ac:dyDescent="0.25">
      <c r="A25" t="s">
        <v>15</v>
      </c>
    </row>
    <row r="26" spans="1:1" x14ac:dyDescent="0.25">
      <c r="A26" t="s">
        <v>0</v>
      </c>
    </row>
    <row r="29" spans="1:1" x14ac:dyDescent="0.25">
      <c r="A29" t="s">
        <v>16</v>
      </c>
    </row>
    <row r="30" spans="1:1" x14ac:dyDescent="0.25">
      <c r="A30" t="s">
        <v>17</v>
      </c>
    </row>
    <row r="31" spans="1:1" x14ac:dyDescent="0.25">
      <c r="A31" t="s">
        <v>337</v>
      </c>
    </row>
    <row r="32" spans="1:1" x14ac:dyDescent="0.25">
      <c r="A32" t="s">
        <v>16</v>
      </c>
    </row>
    <row r="34" spans="1:10" x14ac:dyDescent="0.25">
      <c r="A34" t="s">
        <v>19</v>
      </c>
      <c r="B34" t="s">
        <v>20</v>
      </c>
      <c r="C34" t="s">
        <v>21</v>
      </c>
      <c r="D34" t="s">
        <v>22</v>
      </c>
      <c r="E34" t="s">
        <v>23</v>
      </c>
      <c r="F34" t="s">
        <v>24</v>
      </c>
      <c r="G34" t="s">
        <v>25</v>
      </c>
      <c r="H34" t="s">
        <v>26</v>
      </c>
      <c r="I34" t="s">
        <v>27</v>
      </c>
      <c r="J34" t="s">
        <v>28</v>
      </c>
    </row>
    <row r="35" spans="1:10" x14ac:dyDescent="0.25">
      <c r="A35" t="s">
        <v>29</v>
      </c>
      <c r="B35">
        <v>696190</v>
      </c>
      <c r="C35" t="s">
        <v>30</v>
      </c>
      <c r="D35" t="s">
        <v>31</v>
      </c>
      <c r="E35">
        <v>0.1</v>
      </c>
      <c r="F35">
        <v>79.900000000000006</v>
      </c>
      <c r="G35">
        <v>70.599999999999994</v>
      </c>
      <c r="H35">
        <v>0</v>
      </c>
      <c r="I35">
        <v>80.400000000000006</v>
      </c>
      <c r="J35">
        <v>89.2</v>
      </c>
    </row>
    <row r="36" spans="1:10" x14ac:dyDescent="0.25">
      <c r="A36" t="s">
        <v>29</v>
      </c>
      <c r="B36">
        <v>696190</v>
      </c>
      <c r="C36" t="s">
        <v>32</v>
      </c>
      <c r="D36" t="s">
        <v>33</v>
      </c>
      <c r="E36">
        <v>0</v>
      </c>
      <c r="F36">
        <v>81.900000000000006</v>
      </c>
      <c r="G36">
        <v>72.900000000000006</v>
      </c>
      <c r="H36">
        <v>0</v>
      </c>
      <c r="I36">
        <v>82.4</v>
      </c>
      <c r="J36">
        <v>91.1</v>
      </c>
    </row>
    <row r="37" spans="1:10" x14ac:dyDescent="0.25">
      <c r="A37" t="s">
        <v>29</v>
      </c>
      <c r="B37">
        <v>696190</v>
      </c>
      <c r="C37" t="s">
        <v>34</v>
      </c>
      <c r="D37" t="s">
        <v>35</v>
      </c>
      <c r="E37">
        <v>0.1</v>
      </c>
      <c r="F37">
        <v>82.3</v>
      </c>
      <c r="G37">
        <v>72.5</v>
      </c>
      <c r="H37">
        <v>0</v>
      </c>
      <c r="I37">
        <v>82.8</v>
      </c>
      <c r="J37">
        <v>91.5</v>
      </c>
    </row>
    <row r="38" spans="1:10" x14ac:dyDescent="0.25">
      <c r="A38" t="s">
        <v>29</v>
      </c>
      <c r="B38">
        <v>696190</v>
      </c>
      <c r="C38" t="s">
        <v>36</v>
      </c>
      <c r="D38" t="s">
        <v>33</v>
      </c>
      <c r="E38">
        <v>0.1</v>
      </c>
      <c r="F38">
        <v>84.8</v>
      </c>
      <c r="G38">
        <v>74.8</v>
      </c>
      <c r="H38">
        <v>0</v>
      </c>
      <c r="I38">
        <v>85.2</v>
      </c>
      <c r="J38">
        <v>94</v>
      </c>
    </row>
    <row r="39" spans="1:10" x14ac:dyDescent="0.25">
      <c r="A39" t="s">
        <v>37</v>
      </c>
      <c r="B39">
        <v>696367</v>
      </c>
      <c r="C39" t="s">
        <v>30</v>
      </c>
      <c r="D39" t="s">
        <v>31</v>
      </c>
      <c r="E39">
        <v>0.1</v>
      </c>
      <c r="F39">
        <v>74.8</v>
      </c>
      <c r="G39">
        <v>65.5</v>
      </c>
      <c r="H39">
        <v>0</v>
      </c>
      <c r="I39">
        <v>75.3</v>
      </c>
      <c r="J39">
        <v>83.9</v>
      </c>
    </row>
    <row r="40" spans="1:10" x14ac:dyDescent="0.25">
      <c r="A40" t="s">
        <v>37</v>
      </c>
      <c r="B40">
        <v>696367</v>
      </c>
      <c r="C40" t="s">
        <v>32</v>
      </c>
      <c r="D40" t="s">
        <v>33</v>
      </c>
      <c r="E40">
        <v>0</v>
      </c>
      <c r="F40">
        <v>76.8</v>
      </c>
      <c r="G40">
        <v>68.099999999999994</v>
      </c>
      <c r="H40">
        <v>0</v>
      </c>
      <c r="I40">
        <v>77.400000000000006</v>
      </c>
      <c r="J40">
        <v>86</v>
      </c>
    </row>
    <row r="41" spans="1:10" x14ac:dyDescent="0.25">
      <c r="A41" t="s">
        <v>37</v>
      </c>
      <c r="B41">
        <v>696367</v>
      </c>
      <c r="C41" t="s">
        <v>34</v>
      </c>
      <c r="D41" t="s">
        <v>35</v>
      </c>
      <c r="E41">
        <v>0.1</v>
      </c>
      <c r="F41">
        <v>73.2</v>
      </c>
      <c r="G41">
        <v>62.3</v>
      </c>
      <c r="H41">
        <v>0</v>
      </c>
      <c r="I41">
        <v>73.5</v>
      </c>
      <c r="J41">
        <v>81.900000000000006</v>
      </c>
    </row>
    <row r="42" spans="1:10" x14ac:dyDescent="0.25">
      <c r="A42" t="s">
        <v>37</v>
      </c>
      <c r="B42">
        <v>696367</v>
      </c>
      <c r="C42" t="s">
        <v>36</v>
      </c>
      <c r="D42" t="s">
        <v>33</v>
      </c>
      <c r="E42">
        <v>0.1</v>
      </c>
      <c r="F42">
        <v>75.7</v>
      </c>
      <c r="G42">
        <v>64.7</v>
      </c>
      <c r="H42">
        <v>0</v>
      </c>
      <c r="I42">
        <v>76</v>
      </c>
      <c r="J42">
        <v>84.4</v>
      </c>
    </row>
    <row r="43" spans="1:10" x14ac:dyDescent="0.25">
      <c r="A43" t="s">
        <v>38</v>
      </c>
      <c r="B43">
        <v>726653</v>
      </c>
      <c r="C43" t="s">
        <v>30</v>
      </c>
      <c r="D43" t="s">
        <v>31</v>
      </c>
      <c r="E43">
        <v>0.1</v>
      </c>
      <c r="F43">
        <v>68</v>
      </c>
      <c r="G43">
        <v>56.6</v>
      </c>
      <c r="H43">
        <v>0</v>
      </c>
      <c r="I43">
        <v>68.3</v>
      </c>
      <c r="J43">
        <v>77.099999999999994</v>
      </c>
    </row>
    <row r="44" spans="1:10" x14ac:dyDescent="0.25">
      <c r="A44" t="s">
        <v>38</v>
      </c>
      <c r="B44">
        <v>726653</v>
      </c>
      <c r="C44" t="s">
        <v>32</v>
      </c>
      <c r="D44" t="s">
        <v>33</v>
      </c>
      <c r="E44">
        <v>0</v>
      </c>
      <c r="F44">
        <v>69.900000000000006</v>
      </c>
      <c r="G44">
        <v>59.4</v>
      </c>
      <c r="H44">
        <v>0</v>
      </c>
      <c r="I44">
        <v>70.3</v>
      </c>
      <c r="J44">
        <v>79.099999999999994</v>
      </c>
    </row>
    <row r="45" spans="1:10" x14ac:dyDescent="0.25">
      <c r="A45" t="s">
        <v>38</v>
      </c>
      <c r="B45">
        <v>726653</v>
      </c>
      <c r="C45" t="s">
        <v>34</v>
      </c>
      <c r="D45" t="s">
        <v>35</v>
      </c>
      <c r="E45">
        <v>0.1</v>
      </c>
      <c r="F45">
        <v>68.2</v>
      </c>
      <c r="G45">
        <v>55.8</v>
      </c>
      <c r="H45">
        <v>0</v>
      </c>
      <c r="I45">
        <v>68.5</v>
      </c>
      <c r="J45">
        <v>77.3</v>
      </c>
    </row>
    <row r="46" spans="1:10" x14ac:dyDescent="0.25">
      <c r="A46" t="s">
        <v>38</v>
      </c>
      <c r="B46">
        <v>726653</v>
      </c>
      <c r="C46" t="s">
        <v>36</v>
      </c>
      <c r="D46" t="s">
        <v>33</v>
      </c>
      <c r="E46">
        <v>0.1</v>
      </c>
      <c r="F46">
        <v>70.7</v>
      </c>
      <c r="G46">
        <v>58.7</v>
      </c>
      <c r="H46">
        <v>0</v>
      </c>
      <c r="I46">
        <v>71</v>
      </c>
      <c r="J46">
        <v>79.900000000000006</v>
      </c>
    </row>
    <row r="47" spans="1:10" x14ac:dyDescent="0.25">
      <c r="A47" t="s">
        <v>39</v>
      </c>
      <c r="B47">
        <v>715459</v>
      </c>
      <c r="C47" t="s">
        <v>30</v>
      </c>
      <c r="D47" t="s">
        <v>31</v>
      </c>
      <c r="E47">
        <v>0.1</v>
      </c>
      <c r="F47">
        <v>61.8</v>
      </c>
      <c r="G47">
        <v>58</v>
      </c>
      <c r="H47">
        <v>0</v>
      </c>
      <c r="I47">
        <v>63.3</v>
      </c>
      <c r="J47">
        <v>69.5</v>
      </c>
    </row>
    <row r="48" spans="1:10" x14ac:dyDescent="0.25">
      <c r="A48" t="s">
        <v>39</v>
      </c>
      <c r="B48">
        <v>715459</v>
      </c>
      <c r="C48" t="s">
        <v>32</v>
      </c>
      <c r="D48" t="s">
        <v>33</v>
      </c>
      <c r="E48">
        <v>0</v>
      </c>
      <c r="F48">
        <v>64.8</v>
      </c>
      <c r="G48">
        <v>58.9</v>
      </c>
      <c r="H48">
        <v>0</v>
      </c>
      <c r="I48">
        <v>65.8</v>
      </c>
      <c r="J48">
        <v>72.7</v>
      </c>
    </row>
    <row r="49" spans="1:10" x14ac:dyDescent="0.25">
      <c r="A49" t="s">
        <v>39</v>
      </c>
      <c r="B49">
        <v>715459</v>
      </c>
      <c r="C49" t="s">
        <v>34</v>
      </c>
      <c r="D49" t="s">
        <v>35</v>
      </c>
      <c r="E49">
        <v>0.1</v>
      </c>
      <c r="F49">
        <v>62.3</v>
      </c>
      <c r="G49">
        <v>57.9</v>
      </c>
      <c r="H49">
        <v>0</v>
      </c>
      <c r="I49">
        <v>63.7</v>
      </c>
      <c r="J49">
        <v>69.7</v>
      </c>
    </row>
    <row r="50" spans="1:10" x14ac:dyDescent="0.25">
      <c r="A50" t="s">
        <v>39</v>
      </c>
      <c r="B50">
        <v>715459</v>
      </c>
      <c r="C50" t="s">
        <v>36</v>
      </c>
      <c r="D50" t="s">
        <v>33</v>
      </c>
      <c r="E50">
        <v>0.1</v>
      </c>
      <c r="F50">
        <v>65.3</v>
      </c>
      <c r="G50">
        <v>58.7</v>
      </c>
      <c r="H50">
        <v>0</v>
      </c>
      <c r="I50">
        <v>66.2</v>
      </c>
      <c r="J50">
        <v>72.900000000000006</v>
      </c>
    </row>
    <row r="51" spans="1:10" x14ac:dyDescent="0.25">
      <c r="A51" t="s">
        <v>40</v>
      </c>
      <c r="B51">
        <v>715459</v>
      </c>
      <c r="C51" t="s">
        <v>30</v>
      </c>
      <c r="D51" t="s">
        <v>31</v>
      </c>
      <c r="E51">
        <v>0.1</v>
      </c>
      <c r="F51">
        <v>61.5</v>
      </c>
      <c r="G51">
        <v>58</v>
      </c>
      <c r="H51">
        <v>0</v>
      </c>
      <c r="I51">
        <v>63.1</v>
      </c>
      <c r="J51">
        <v>69.099999999999994</v>
      </c>
    </row>
    <row r="52" spans="1:10" x14ac:dyDescent="0.25">
      <c r="A52" t="s">
        <v>40</v>
      </c>
      <c r="B52">
        <v>715459</v>
      </c>
      <c r="C52" t="s">
        <v>32</v>
      </c>
      <c r="D52" t="s">
        <v>33</v>
      </c>
      <c r="E52">
        <v>0</v>
      </c>
      <c r="F52">
        <v>64.400000000000006</v>
      </c>
      <c r="G52">
        <v>58.9</v>
      </c>
      <c r="H52">
        <v>0</v>
      </c>
      <c r="I52">
        <v>65.5</v>
      </c>
      <c r="J52">
        <v>72.2</v>
      </c>
    </row>
    <row r="53" spans="1:10" x14ac:dyDescent="0.25">
      <c r="A53" t="s">
        <v>40</v>
      </c>
      <c r="B53">
        <v>715459</v>
      </c>
      <c r="C53" t="s">
        <v>34</v>
      </c>
      <c r="D53" t="s">
        <v>35</v>
      </c>
      <c r="E53">
        <v>0.1</v>
      </c>
      <c r="F53">
        <v>61.8</v>
      </c>
      <c r="G53">
        <v>57.9</v>
      </c>
      <c r="H53">
        <v>0</v>
      </c>
      <c r="I53">
        <v>63.3</v>
      </c>
      <c r="J53">
        <v>68.900000000000006</v>
      </c>
    </row>
    <row r="54" spans="1:10" x14ac:dyDescent="0.25">
      <c r="A54" t="s">
        <v>40</v>
      </c>
      <c r="B54">
        <v>715459</v>
      </c>
      <c r="C54" t="s">
        <v>36</v>
      </c>
      <c r="D54" t="s">
        <v>33</v>
      </c>
      <c r="E54">
        <v>0.1</v>
      </c>
      <c r="F54">
        <v>64.599999999999994</v>
      </c>
      <c r="G54">
        <v>58.7</v>
      </c>
      <c r="H54">
        <v>0</v>
      </c>
      <c r="I54">
        <v>65.599999999999994</v>
      </c>
      <c r="J54">
        <v>71.900000000000006</v>
      </c>
    </row>
    <row r="55" spans="1:10" x14ac:dyDescent="0.25">
      <c r="A55" t="s">
        <v>41</v>
      </c>
      <c r="B55">
        <v>715459</v>
      </c>
      <c r="C55" t="s">
        <v>30</v>
      </c>
      <c r="D55" t="s">
        <v>31</v>
      </c>
      <c r="E55">
        <v>0.1</v>
      </c>
      <c r="F55">
        <v>61.8</v>
      </c>
      <c r="G55">
        <v>58.1</v>
      </c>
      <c r="H55">
        <v>0</v>
      </c>
      <c r="I55">
        <v>63.3</v>
      </c>
      <c r="J55">
        <v>69.5</v>
      </c>
    </row>
    <row r="56" spans="1:10" x14ac:dyDescent="0.25">
      <c r="A56" t="s">
        <v>41</v>
      </c>
      <c r="B56">
        <v>715459</v>
      </c>
      <c r="C56" t="s">
        <v>32</v>
      </c>
      <c r="D56" t="s">
        <v>33</v>
      </c>
      <c r="E56">
        <v>0</v>
      </c>
      <c r="F56">
        <v>64.8</v>
      </c>
      <c r="G56">
        <v>59</v>
      </c>
      <c r="H56">
        <v>0</v>
      </c>
      <c r="I56">
        <v>65.8</v>
      </c>
      <c r="J56">
        <v>72.7</v>
      </c>
    </row>
    <row r="57" spans="1:10" x14ac:dyDescent="0.25">
      <c r="A57" t="s">
        <v>41</v>
      </c>
      <c r="B57">
        <v>715459</v>
      </c>
      <c r="C57" t="s">
        <v>34</v>
      </c>
      <c r="D57" t="s">
        <v>35</v>
      </c>
      <c r="E57">
        <v>0.1</v>
      </c>
      <c r="F57">
        <v>61.9</v>
      </c>
      <c r="G57">
        <v>58</v>
      </c>
      <c r="H57">
        <v>0</v>
      </c>
      <c r="I57">
        <v>63.4</v>
      </c>
      <c r="J57">
        <v>69</v>
      </c>
    </row>
    <row r="58" spans="1:10" x14ac:dyDescent="0.25">
      <c r="A58" t="s">
        <v>41</v>
      </c>
      <c r="B58">
        <v>715459</v>
      </c>
      <c r="C58" t="s">
        <v>36</v>
      </c>
      <c r="D58" t="s">
        <v>33</v>
      </c>
      <c r="E58">
        <v>0.1</v>
      </c>
      <c r="F58">
        <v>64.7</v>
      </c>
      <c r="G58">
        <v>58.8</v>
      </c>
      <c r="H58">
        <v>0</v>
      </c>
      <c r="I58">
        <v>65.7</v>
      </c>
      <c r="J58">
        <v>72</v>
      </c>
    </row>
    <row r="59" spans="1:10" x14ac:dyDescent="0.25">
      <c r="A59" t="s">
        <v>42</v>
      </c>
      <c r="B59">
        <v>702381</v>
      </c>
      <c r="C59" t="s">
        <v>30</v>
      </c>
      <c r="D59" t="s">
        <v>31</v>
      </c>
      <c r="E59">
        <v>0.1</v>
      </c>
      <c r="F59">
        <v>74.400000000000006</v>
      </c>
      <c r="G59">
        <v>69.099999999999994</v>
      </c>
      <c r="H59">
        <v>0</v>
      </c>
      <c r="I59">
        <v>75.5</v>
      </c>
      <c r="J59">
        <v>83.1</v>
      </c>
    </row>
    <row r="60" spans="1:10" x14ac:dyDescent="0.25">
      <c r="A60" t="s">
        <v>42</v>
      </c>
      <c r="B60">
        <v>702381</v>
      </c>
      <c r="C60" t="s">
        <v>32</v>
      </c>
      <c r="D60" t="s">
        <v>33</v>
      </c>
      <c r="E60">
        <v>0</v>
      </c>
      <c r="F60">
        <v>76</v>
      </c>
      <c r="G60">
        <v>70.2</v>
      </c>
      <c r="H60">
        <v>0</v>
      </c>
      <c r="I60">
        <v>77</v>
      </c>
      <c r="J60">
        <v>84.6</v>
      </c>
    </row>
    <row r="61" spans="1:10" x14ac:dyDescent="0.25">
      <c r="A61" t="s">
        <v>42</v>
      </c>
      <c r="B61">
        <v>702381</v>
      </c>
      <c r="C61" t="s">
        <v>34</v>
      </c>
      <c r="D61" t="s">
        <v>35</v>
      </c>
      <c r="E61">
        <v>0.1</v>
      </c>
      <c r="F61">
        <v>81.900000000000006</v>
      </c>
      <c r="G61">
        <v>66.3</v>
      </c>
      <c r="H61">
        <v>0</v>
      </c>
      <c r="I61">
        <v>82</v>
      </c>
      <c r="J61">
        <v>90.7</v>
      </c>
    </row>
    <row r="62" spans="1:10" x14ac:dyDescent="0.25">
      <c r="A62" t="s">
        <v>42</v>
      </c>
      <c r="B62">
        <v>702381</v>
      </c>
      <c r="C62" t="s">
        <v>36</v>
      </c>
      <c r="D62" t="s">
        <v>33</v>
      </c>
      <c r="E62">
        <v>0.1</v>
      </c>
      <c r="F62">
        <v>85.3</v>
      </c>
      <c r="G62">
        <v>69.099999999999994</v>
      </c>
      <c r="H62">
        <v>0</v>
      </c>
      <c r="I62">
        <v>85.4</v>
      </c>
      <c r="J62">
        <v>94.3</v>
      </c>
    </row>
    <row r="63" spans="1:10" x14ac:dyDescent="0.25">
      <c r="A63" t="s">
        <v>43</v>
      </c>
      <c r="B63">
        <v>702381</v>
      </c>
      <c r="C63" t="s">
        <v>30</v>
      </c>
      <c r="D63" t="s">
        <v>31</v>
      </c>
      <c r="E63">
        <v>0.1</v>
      </c>
      <c r="F63">
        <v>75</v>
      </c>
      <c r="G63">
        <v>70.599999999999994</v>
      </c>
      <c r="H63">
        <v>0</v>
      </c>
      <c r="I63">
        <v>76.3</v>
      </c>
      <c r="J63">
        <v>83.8</v>
      </c>
    </row>
    <row r="64" spans="1:10" x14ac:dyDescent="0.25">
      <c r="A64" t="s">
        <v>43</v>
      </c>
      <c r="B64">
        <v>702381</v>
      </c>
      <c r="C64" t="s">
        <v>32</v>
      </c>
      <c r="D64" t="s">
        <v>33</v>
      </c>
      <c r="E64">
        <v>0</v>
      </c>
      <c r="F64">
        <v>76.599999999999994</v>
      </c>
      <c r="G64">
        <v>71.2</v>
      </c>
      <c r="H64">
        <v>0</v>
      </c>
      <c r="I64">
        <v>77.7</v>
      </c>
      <c r="J64">
        <v>85.4</v>
      </c>
    </row>
    <row r="65" spans="1:10" x14ac:dyDescent="0.25">
      <c r="A65" t="s">
        <v>43</v>
      </c>
      <c r="B65">
        <v>702381</v>
      </c>
      <c r="C65" t="s">
        <v>34</v>
      </c>
      <c r="D65" t="s">
        <v>35</v>
      </c>
      <c r="E65">
        <v>0.1</v>
      </c>
      <c r="F65">
        <v>83.5</v>
      </c>
      <c r="G65">
        <v>67.599999999999994</v>
      </c>
      <c r="H65">
        <v>0</v>
      </c>
      <c r="I65">
        <v>83.6</v>
      </c>
      <c r="J65">
        <v>92.3</v>
      </c>
    </row>
    <row r="66" spans="1:10" x14ac:dyDescent="0.25">
      <c r="A66" t="s">
        <v>43</v>
      </c>
      <c r="B66">
        <v>702381</v>
      </c>
      <c r="C66" t="s">
        <v>36</v>
      </c>
      <c r="D66" t="s">
        <v>33</v>
      </c>
      <c r="E66">
        <v>0.1</v>
      </c>
      <c r="F66">
        <v>86.4</v>
      </c>
      <c r="G66">
        <v>70.099999999999994</v>
      </c>
      <c r="H66">
        <v>0</v>
      </c>
      <c r="I66">
        <v>86.5</v>
      </c>
      <c r="J66">
        <v>95.3</v>
      </c>
    </row>
    <row r="67" spans="1:10" x14ac:dyDescent="0.25">
      <c r="A67" t="s">
        <v>44</v>
      </c>
      <c r="B67">
        <v>696347</v>
      </c>
      <c r="C67" t="s">
        <v>30</v>
      </c>
      <c r="D67" t="s">
        <v>31</v>
      </c>
      <c r="E67">
        <v>0.1</v>
      </c>
      <c r="F67">
        <v>62.3</v>
      </c>
      <c r="G67">
        <v>46.2</v>
      </c>
      <c r="H67">
        <v>0</v>
      </c>
      <c r="I67">
        <v>62.4</v>
      </c>
      <c r="J67">
        <v>70.599999999999994</v>
      </c>
    </row>
    <row r="68" spans="1:10" x14ac:dyDescent="0.25">
      <c r="A68" t="s">
        <v>44</v>
      </c>
      <c r="B68">
        <v>696347</v>
      </c>
      <c r="C68" t="s">
        <v>32</v>
      </c>
      <c r="D68" t="s">
        <v>33</v>
      </c>
      <c r="E68">
        <v>0</v>
      </c>
      <c r="F68">
        <v>64.599999999999994</v>
      </c>
      <c r="G68">
        <v>49.6</v>
      </c>
      <c r="H68">
        <v>0</v>
      </c>
      <c r="I68">
        <v>64.7</v>
      </c>
      <c r="J68">
        <v>73.099999999999994</v>
      </c>
    </row>
    <row r="69" spans="1:10" x14ac:dyDescent="0.25">
      <c r="A69" t="s">
        <v>44</v>
      </c>
      <c r="B69">
        <v>696347</v>
      </c>
      <c r="C69" t="s">
        <v>34</v>
      </c>
      <c r="D69" t="s">
        <v>35</v>
      </c>
      <c r="E69">
        <v>0.1</v>
      </c>
      <c r="F69">
        <v>75</v>
      </c>
      <c r="G69">
        <v>46.5</v>
      </c>
      <c r="H69">
        <v>0</v>
      </c>
      <c r="I69">
        <v>75</v>
      </c>
      <c r="J69">
        <v>83.9</v>
      </c>
    </row>
    <row r="70" spans="1:10" x14ac:dyDescent="0.25">
      <c r="A70" t="s">
        <v>44</v>
      </c>
      <c r="B70">
        <v>696347</v>
      </c>
      <c r="C70" t="s">
        <v>36</v>
      </c>
      <c r="D70" t="s">
        <v>33</v>
      </c>
      <c r="E70">
        <v>0.1</v>
      </c>
      <c r="F70">
        <v>77.8</v>
      </c>
      <c r="G70">
        <v>49.5</v>
      </c>
      <c r="H70">
        <v>0</v>
      </c>
      <c r="I70">
        <v>77.8</v>
      </c>
      <c r="J70">
        <v>86.7</v>
      </c>
    </row>
    <row r="71" spans="1:10" x14ac:dyDescent="0.25">
      <c r="A71" t="s">
        <v>45</v>
      </c>
      <c r="B71">
        <v>710249</v>
      </c>
      <c r="C71" t="s">
        <v>30</v>
      </c>
      <c r="D71" t="s">
        <v>31</v>
      </c>
      <c r="E71">
        <v>0.1</v>
      </c>
      <c r="F71">
        <v>52.1</v>
      </c>
      <c r="G71">
        <v>36.799999999999997</v>
      </c>
      <c r="H71">
        <v>0</v>
      </c>
      <c r="I71">
        <v>52.2</v>
      </c>
      <c r="J71">
        <v>60.4</v>
      </c>
    </row>
    <row r="72" spans="1:10" x14ac:dyDescent="0.25">
      <c r="A72" t="s">
        <v>45</v>
      </c>
      <c r="B72">
        <v>710249</v>
      </c>
      <c r="C72" t="s">
        <v>32</v>
      </c>
      <c r="D72" t="s">
        <v>33</v>
      </c>
      <c r="E72">
        <v>0</v>
      </c>
      <c r="F72">
        <v>54.3</v>
      </c>
      <c r="G72">
        <v>38.6</v>
      </c>
      <c r="H72">
        <v>0</v>
      </c>
      <c r="I72">
        <v>54.4</v>
      </c>
      <c r="J72">
        <v>62.7</v>
      </c>
    </row>
    <row r="73" spans="1:10" x14ac:dyDescent="0.25">
      <c r="A73" t="s">
        <v>45</v>
      </c>
      <c r="B73">
        <v>710249</v>
      </c>
      <c r="C73" t="s">
        <v>34</v>
      </c>
      <c r="D73" t="s">
        <v>35</v>
      </c>
      <c r="E73">
        <v>0.1</v>
      </c>
      <c r="F73">
        <v>52.9</v>
      </c>
      <c r="G73">
        <v>37</v>
      </c>
      <c r="H73">
        <v>0</v>
      </c>
      <c r="I73">
        <v>53</v>
      </c>
      <c r="J73">
        <v>61.2</v>
      </c>
    </row>
    <row r="74" spans="1:10" x14ac:dyDescent="0.25">
      <c r="A74" t="s">
        <v>45</v>
      </c>
      <c r="B74">
        <v>710249</v>
      </c>
      <c r="C74" t="s">
        <v>36</v>
      </c>
      <c r="D74" t="s">
        <v>33</v>
      </c>
      <c r="E74">
        <v>0.1</v>
      </c>
      <c r="F74">
        <v>55.2</v>
      </c>
      <c r="G74">
        <v>38.6</v>
      </c>
      <c r="H74">
        <v>0</v>
      </c>
      <c r="I74">
        <v>55.3</v>
      </c>
      <c r="J74">
        <v>63.7</v>
      </c>
    </row>
    <row r="75" spans="1:10" x14ac:dyDescent="0.25">
      <c r="A75" t="s">
        <v>46</v>
      </c>
      <c r="B75">
        <v>691176</v>
      </c>
      <c r="C75" t="s">
        <v>30</v>
      </c>
      <c r="D75" t="s">
        <v>31</v>
      </c>
      <c r="E75">
        <v>0.1</v>
      </c>
      <c r="F75">
        <v>33.9</v>
      </c>
      <c r="G75">
        <v>32</v>
      </c>
      <c r="H75">
        <v>0</v>
      </c>
      <c r="I75">
        <v>36.1</v>
      </c>
      <c r="J75">
        <v>44.6</v>
      </c>
    </row>
    <row r="76" spans="1:10" x14ac:dyDescent="0.25">
      <c r="A76" t="s">
        <v>46</v>
      </c>
      <c r="B76">
        <v>691176</v>
      </c>
      <c r="C76" t="s">
        <v>32</v>
      </c>
      <c r="D76" t="s">
        <v>33</v>
      </c>
      <c r="E76">
        <v>0</v>
      </c>
      <c r="F76">
        <v>36.1</v>
      </c>
      <c r="G76">
        <v>35.9</v>
      </c>
      <c r="H76">
        <v>0</v>
      </c>
      <c r="I76">
        <v>39</v>
      </c>
      <c r="J76">
        <v>47.8</v>
      </c>
    </row>
    <row r="77" spans="1:10" x14ac:dyDescent="0.25">
      <c r="A77" t="s">
        <v>46</v>
      </c>
      <c r="B77">
        <v>691176</v>
      </c>
      <c r="C77" t="s">
        <v>34</v>
      </c>
      <c r="D77" t="s">
        <v>35</v>
      </c>
      <c r="E77">
        <v>0.1</v>
      </c>
      <c r="F77">
        <v>33.9</v>
      </c>
      <c r="G77">
        <v>32.799999999999997</v>
      </c>
      <c r="H77">
        <v>0</v>
      </c>
      <c r="I77">
        <v>36.4</v>
      </c>
      <c r="J77">
        <v>44.7</v>
      </c>
    </row>
    <row r="78" spans="1:10" x14ac:dyDescent="0.25">
      <c r="A78" t="s">
        <v>46</v>
      </c>
      <c r="B78">
        <v>691176</v>
      </c>
      <c r="C78" t="s">
        <v>36</v>
      </c>
      <c r="D78" t="s">
        <v>33</v>
      </c>
      <c r="E78">
        <v>0.1</v>
      </c>
      <c r="F78">
        <v>36</v>
      </c>
      <c r="G78">
        <v>35.799999999999997</v>
      </c>
      <c r="H78">
        <v>0</v>
      </c>
      <c r="I78">
        <v>38.9</v>
      </c>
      <c r="J78">
        <v>47.5</v>
      </c>
    </row>
    <row r="79" spans="1:10" x14ac:dyDescent="0.25">
      <c r="A79" t="s">
        <v>47</v>
      </c>
      <c r="B79">
        <v>697844</v>
      </c>
      <c r="C79" t="s">
        <v>30</v>
      </c>
      <c r="D79" t="s">
        <v>31</v>
      </c>
      <c r="E79">
        <v>0.1</v>
      </c>
      <c r="F79">
        <v>77.5</v>
      </c>
      <c r="G79">
        <v>58</v>
      </c>
      <c r="H79">
        <v>0</v>
      </c>
      <c r="I79">
        <v>77.5</v>
      </c>
      <c r="J79">
        <v>86.3</v>
      </c>
    </row>
    <row r="80" spans="1:10" x14ac:dyDescent="0.25">
      <c r="A80" t="s">
        <v>47</v>
      </c>
      <c r="B80">
        <v>697844</v>
      </c>
      <c r="C80" t="s">
        <v>32</v>
      </c>
      <c r="D80" t="s">
        <v>33</v>
      </c>
      <c r="E80">
        <v>0</v>
      </c>
      <c r="F80">
        <v>79.5</v>
      </c>
      <c r="G80">
        <v>60.9</v>
      </c>
      <c r="H80">
        <v>0</v>
      </c>
      <c r="I80">
        <v>79.599999999999994</v>
      </c>
      <c r="J80">
        <v>88.3</v>
      </c>
    </row>
    <row r="81" spans="1:10" x14ac:dyDescent="0.25">
      <c r="A81" t="s">
        <v>47</v>
      </c>
      <c r="B81">
        <v>697844</v>
      </c>
      <c r="C81" t="s">
        <v>34</v>
      </c>
      <c r="D81" t="s">
        <v>35</v>
      </c>
      <c r="E81">
        <v>0.1</v>
      </c>
      <c r="F81">
        <v>74.7</v>
      </c>
      <c r="G81">
        <v>52</v>
      </c>
      <c r="H81">
        <v>0</v>
      </c>
      <c r="I81">
        <v>74.8</v>
      </c>
      <c r="J81">
        <v>82.4</v>
      </c>
    </row>
    <row r="82" spans="1:10" x14ac:dyDescent="0.25">
      <c r="A82" t="s">
        <v>47</v>
      </c>
      <c r="B82">
        <v>697844</v>
      </c>
      <c r="C82" t="s">
        <v>36</v>
      </c>
      <c r="D82" t="s">
        <v>33</v>
      </c>
      <c r="E82">
        <v>0.1</v>
      </c>
      <c r="F82">
        <v>76.900000000000006</v>
      </c>
      <c r="G82">
        <v>54</v>
      </c>
      <c r="H82">
        <v>0</v>
      </c>
      <c r="I82">
        <v>76.900000000000006</v>
      </c>
      <c r="J82">
        <v>84.6</v>
      </c>
    </row>
    <row r="84" spans="1:10" x14ac:dyDescent="0.25">
      <c r="A84" t="s">
        <v>0</v>
      </c>
    </row>
    <row r="85" spans="1:10" x14ac:dyDescent="0.25">
      <c r="A85" t="s">
        <v>371</v>
      </c>
    </row>
    <row r="86" spans="1:10" x14ac:dyDescent="0.25">
      <c r="A86" t="s">
        <v>0</v>
      </c>
    </row>
    <row r="87" spans="1:10" x14ac:dyDescent="0.25">
      <c r="A87" t="s">
        <v>48</v>
      </c>
    </row>
    <row r="88" spans="1:10" x14ac:dyDescent="0.25">
      <c r="A88" t="s">
        <v>49</v>
      </c>
    </row>
    <row r="89" spans="1:10" x14ac:dyDescent="0.25">
      <c r="A89" t="s">
        <v>50</v>
      </c>
    </row>
    <row r="91" spans="1:10" x14ac:dyDescent="0.25">
      <c r="A91" t="s">
        <v>51</v>
      </c>
    </row>
    <row r="94" spans="1:10" x14ac:dyDescent="0.25">
      <c r="A94" t="s">
        <v>52</v>
      </c>
    </row>
    <row r="95" spans="1:10" x14ac:dyDescent="0.25">
      <c r="A95" t="s">
        <v>53</v>
      </c>
      <c r="B95">
        <v>1</v>
      </c>
    </row>
    <row r="97" spans="1:2" x14ac:dyDescent="0.25">
      <c r="A97" t="s">
        <v>54</v>
      </c>
    </row>
    <row r="98" spans="1:2" x14ac:dyDescent="0.25">
      <c r="A98" t="s">
        <v>55</v>
      </c>
      <c r="B98" t="s">
        <v>56</v>
      </c>
    </row>
    <row r="99" spans="1:2" x14ac:dyDescent="0.25">
      <c r="A99" t="s">
        <v>57</v>
      </c>
      <c r="B99" t="s">
        <v>58</v>
      </c>
    </row>
    <row r="100" spans="1:2" x14ac:dyDescent="0.25">
      <c r="A100" t="s">
        <v>59</v>
      </c>
      <c r="B100" t="s">
        <v>58</v>
      </c>
    </row>
    <row r="101" spans="1:2" x14ac:dyDescent="0.25">
      <c r="A101" t="s">
        <v>60</v>
      </c>
      <c r="B101" t="s">
        <v>61</v>
      </c>
    </row>
    <row r="102" spans="1:2" x14ac:dyDescent="0.25">
      <c r="A102" t="s">
        <v>62</v>
      </c>
      <c r="B102" t="s">
        <v>58</v>
      </c>
    </row>
    <row r="103" spans="1:2" x14ac:dyDescent="0.25">
      <c r="A103" t="s">
        <v>63</v>
      </c>
      <c r="B103" t="s">
        <v>58</v>
      </c>
    </row>
    <row r="104" spans="1:2" x14ac:dyDescent="0.25">
      <c r="A104" t="s">
        <v>64</v>
      </c>
      <c r="B104" t="s">
        <v>65</v>
      </c>
    </row>
    <row r="105" spans="1:2" x14ac:dyDescent="0.25">
      <c r="A105" t="s">
        <v>66</v>
      </c>
      <c r="B105" t="s">
        <v>67</v>
      </c>
    </row>
    <row r="106" spans="1:2" x14ac:dyDescent="0.25">
      <c r="A106" t="s">
        <v>68</v>
      </c>
      <c r="B106" t="s">
        <v>58</v>
      </c>
    </row>
    <row r="109" spans="1:2" x14ac:dyDescent="0.25">
      <c r="A109" t="s">
        <v>69</v>
      </c>
    </row>
    <row r="110" spans="1:2" x14ac:dyDescent="0.25">
      <c r="A110" t="s">
        <v>53</v>
      </c>
      <c r="B110">
        <v>12</v>
      </c>
    </row>
    <row r="112" spans="1:2" x14ac:dyDescent="0.25">
      <c r="A112" t="s">
        <v>70</v>
      </c>
    </row>
    <row r="113" spans="1:4" x14ac:dyDescent="0.25">
      <c r="A113" t="s">
        <v>71</v>
      </c>
      <c r="B113" t="s">
        <v>72</v>
      </c>
    </row>
    <row r="114" spans="1:4" x14ac:dyDescent="0.25">
      <c r="A114" t="s">
        <v>68</v>
      </c>
      <c r="B114" t="s">
        <v>58</v>
      </c>
    </row>
    <row r="115" spans="1:4" x14ac:dyDescent="0.25">
      <c r="A115" t="s">
        <v>73</v>
      </c>
      <c r="B115" t="s">
        <v>74</v>
      </c>
    </row>
    <row r="116" spans="1:4" x14ac:dyDescent="0.25">
      <c r="A116" t="s">
        <v>75</v>
      </c>
      <c r="B116">
        <v>716653.94</v>
      </c>
      <c r="C116">
        <v>248246.81</v>
      </c>
      <c r="D116">
        <v>4</v>
      </c>
    </row>
    <row r="118" spans="1:4" x14ac:dyDescent="0.25">
      <c r="A118" t="s">
        <v>70</v>
      </c>
    </row>
    <row r="119" spans="1:4" x14ac:dyDescent="0.25">
      <c r="A119" t="s">
        <v>71</v>
      </c>
      <c r="B119" t="s">
        <v>76</v>
      </c>
    </row>
    <row r="120" spans="1:4" x14ac:dyDescent="0.25">
      <c r="A120" t="s">
        <v>68</v>
      </c>
      <c r="B120" t="s">
        <v>58</v>
      </c>
    </row>
    <row r="121" spans="1:4" x14ac:dyDescent="0.25">
      <c r="A121" t="s">
        <v>73</v>
      </c>
      <c r="B121" t="s">
        <v>77</v>
      </c>
    </row>
    <row r="122" spans="1:4" x14ac:dyDescent="0.25">
      <c r="A122" t="s">
        <v>75</v>
      </c>
      <c r="B122">
        <v>716666.22</v>
      </c>
      <c r="C122">
        <v>248206.77</v>
      </c>
      <c r="D122">
        <v>4</v>
      </c>
    </row>
    <row r="124" spans="1:4" x14ac:dyDescent="0.25">
      <c r="A124" t="s">
        <v>70</v>
      </c>
    </row>
    <row r="125" spans="1:4" x14ac:dyDescent="0.25">
      <c r="A125" t="s">
        <v>71</v>
      </c>
      <c r="B125" t="s">
        <v>78</v>
      </c>
    </row>
    <row r="126" spans="1:4" x14ac:dyDescent="0.25">
      <c r="A126" t="s">
        <v>68</v>
      </c>
      <c r="B126" t="s">
        <v>58</v>
      </c>
    </row>
    <row r="127" spans="1:4" x14ac:dyDescent="0.25">
      <c r="A127" t="s">
        <v>73</v>
      </c>
      <c r="B127" t="s">
        <v>79</v>
      </c>
    </row>
    <row r="128" spans="1:4" x14ac:dyDescent="0.25">
      <c r="A128" t="s">
        <v>75</v>
      </c>
      <c r="B128">
        <v>716670.1</v>
      </c>
      <c r="C128">
        <v>247965.8</v>
      </c>
      <c r="D128">
        <v>4</v>
      </c>
    </row>
    <row r="130" spans="1:4" x14ac:dyDescent="0.25">
      <c r="A130" t="s">
        <v>70</v>
      </c>
    </row>
    <row r="131" spans="1:4" x14ac:dyDescent="0.25">
      <c r="A131" t="s">
        <v>71</v>
      </c>
      <c r="B131" t="s">
        <v>80</v>
      </c>
    </row>
    <row r="132" spans="1:4" x14ac:dyDescent="0.25">
      <c r="A132" t="s">
        <v>68</v>
      </c>
      <c r="B132" t="s">
        <v>58</v>
      </c>
    </row>
    <row r="133" spans="1:4" x14ac:dyDescent="0.25">
      <c r="A133" t="s">
        <v>73</v>
      </c>
      <c r="B133" t="s">
        <v>81</v>
      </c>
    </row>
    <row r="134" spans="1:4" x14ac:dyDescent="0.25">
      <c r="A134" t="s">
        <v>75</v>
      </c>
      <c r="B134">
        <v>716527.28</v>
      </c>
      <c r="C134">
        <v>248040.95999999999</v>
      </c>
      <c r="D134">
        <v>4</v>
      </c>
    </row>
    <row r="136" spans="1:4" x14ac:dyDescent="0.25">
      <c r="A136" t="s">
        <v>70</v>
      </c>
    </row>
    <row r="137" spans="1:4" x14ac:dyDescent="0.25">
      <c r="A137" t="s">
        <v>71</v>
      </c>
      <c r="B137" t="s">
        <v>82</v>
      </c>
    </row>
    <row r="138" spans="1:4" x14ac:dyDescent="0.25">
      <c r="A138" t="s">
        <v>68</v>
      </c>
      <c r="B138" t="s">
        <v>58</v>
      </c>
    </row>
    <row r="139" spans="1:4" x14ac:dyDescent="0.25">
      <c r="A139" t="s">
        <v>73</v>
      </c>
      <c r="B139" t="s">
        <v>81</v>
      </c>
    </row>
    <row r="140" spans="1:4" x14ac:dyDescent="0.25">
      <c r="A140" t="s">
        <v>75</v>
      </c>
      <c r="B140">
        <v>716527.28</v>
      </c>
      <c r="C140">
        <v>248040.95999999999</v>
      </c>
      <c r="D140">
        <v>8</v>
      </c>
    </row>
    <row r="142" spans="1:4" x14ac:dyDescent="0.25">
      <c r="A142" t="s">
        <v>70</v>
      </c>
    </row>
    <row r="143" spans="1:4" x14ac:dyDescent="0.25">
      <c r="A143" t="s">
        <v>71</v>
      </c>
      <c r="B143" t="s">
        <v>83</v>
      </c>
    </row>
    <row r="144" spans="1:4" x14ac:dyDescent="0.25">
      <c r="A144" t="s">
        <v>68</v>
      </c>
      <c r="B144" t="s">
        <v>58</v>
      </c>
    </row>
    <row r="145" spans="1:4" x14ac:dyDescent="0.25">
      <c r="A145" t="s">
        <v>73</v>
      </c>
      <c r="B145" t="s">
        <v>81</v>
      </c>
    </row>
    <row r="146" spans="1:4" x14ac:dyDescent="0.25">
      <c r="A146" t="s">
        <v>75</v>
      </c>
      <c r="B146">
        <v>716527.28</v>
      </c>
      <c r="C146">
        <v>248040.95999999999</v>
      </c>
      <c r="D146">
        <v>12</v>
      </c>
    </row>
    <row r="148" spans="1:4" x14ac:dyDescent="0.25">
      <c r="A148" t="s">
        <v>70</v>
      </c>
    </row>
    <row r="149" spans="1:4" x14ac:dyDescent="0.25">
      <c r="A149" t="s">
        <v>71</v>
      </c>
      <c r="B149" t="s">
        <v>84</v>
      </c>
    </row>
    <row r="150" spans="1:4" x14ac:dyDescent="0.25">
      <c r="A150" t="s">
        <v>68</v>
      </c>
      <c r="B150" t="s">
        <v>58</v>
      </c>
    </row>
    <row r="151" spans="1:4" x14ac:dyDescent="0.25">
      <c r="A151" t="s">
        <v>73</v>
      </c>
      <c r="B151" t="s">
        <v>85</v>
      </c>
    </row>
    <row r="152" spans="1:4" x14ac:dyDescent="0.25">
      <c r="A152" t="s">
        <v>75</v>
      </c>
      <c r="B152">
        <v>716373.41</v>
      </c>
      <c r="C152">
        <v>248261.62</v>
      </c>
      <c r="D152">
        <v>4</v>
      </c>
    </row>
    <row r="154" spans="1:4" x14ac:dyDescent="0.25">
      <c r="A154" t="s">
        <v>70</v>
      </c>
    </row>
    <row r="155" spans="1:4" x14ac:dyDescent="0.25">
      <c r="A155" t="s">
        <v>71</v>
      </c>
      <c r="B155" t="s">
        <v>86</v>
      </c>
    </row>
    <row r="156" spans="1:4" x14ac:dyDescent="0.25">
      <c r="A156" t="s">
        <v>68</v>
      </c>
      <c r="B156" t="s">
        <v>58</v>
      </c>
    </row>
    <row r="157" spans="1:4" x14ac:dyDescent="0.25">
      <c r="A157" t="s">
        <v>73</v>
      </c>
      <c r="B157" t="s">
        <v>85</v>
      </c>
    </row>
    <row r="158" spans="1:4" x14ac:dyDescent="0.25">
      <c r="A158" t="s">
        <v>75</v>
      </c>
      <c r="B158">
        <v>716373.41</v>
      </c>
      <c r="C158">
        <v>248261.62</v>
      </c>
      <c r="D158">
        <v>8</v>
      </c>
    </row>
    <row r="160" spans="1:4" x14ac:dyDescent="0.25">
      <c r="A160" t="s">
        <v>70</v>
      </c>
    </row>
    <row r="161" spans="1:4" x14ac:dyDescent="0.25">
      <c r="A161" t="s">
        <v>71</v>
      </c>
      <c r="B161" t="s">
        <v>87</v>
      </c>
    </row>
    <row r="162" spans="1:4" x14ac:dyDescent="0.25">
      <c r="A162" t="s">
        <v>68</v>
      </c>
      <c r="B162" t="s">
        <v>58</v>
      </c>
    </row>
    <row r="163" spans="1:4" x14ac:dyDescent="0.25">
      <c r="A163" t="s">
        <v>73</v>
      </c>
      <c r="B163" t="s">
        <v>88</v>
      </c>
    </row>
    <row r="164" spans="1:4" x14ac:dyDescent="0.25">
      <c r="A164" t="s">
        <v>75</v>
      </c>
      <c r="B164">
        <v>716043.27</v>
      </c>
      <c r="C164">
        <v>248216.29</v>
      </c>
      <c r="D164">
        <v>4</v>
      </c>
    </row>
    <row r="166" spans="1:4" x14ac:dyDescent="0.25">
      <c r="A166" t="s">
        <v>70</v>
      </c>
    </row>
    <row r="167" spans="1:4" x14ac:dyDescent="0.25">
      <c r="A167" t="s">
        <v>71</v>
      </c>
      <c r="B167" t="s">
        <v>89</v>
      </c>
    </row>
    <row r="168" spans="1:4" x14ac:dyDescent="0.25">
      <c r="A168" t="s">
        <v>68</v>
      </c>
      <c r="B168" t="s">
        <v>58</v>
      </c>
    </row>
    <row r="169" spans="1:4" x14ac:dyDescent="0.25">
      <c r="A169" t="s">
        <v>73</v>
      </c>
      <c r="B169" t="s">
        <v>90</v>
      </c>
    </row>
    <row r="170" spans="1:4" x14ac:dyDescent="0.25">
      <c r="A170" t="s">
        <v>75</v>
      </c>
      <c r="B170">
        <v>715848.85</v>
      </c>
      <c r="C170">
        <v>248571.12</v>
      </c>
      <c r="D170">
        <v>4</v>
      </c>
    </row>
    <row r="172" spans="1:4" x14ac:dyDescent="0.25">
      <c r="A172" t="s">
        <v>70</v>
      </c>
    </row>
    <row r="173" spans="1:4" x14ac:dyDescent="0.25">
      <c r="A173" t="s">
        <v>71</v>
      </c>
      <c r="B173" t="s">
        <v>91</v>
      </c>
    </row>
    <row r="174" spans="1:4" x14ac:dyDescent="0.25">
      <c r="A174" t="s">
        <v>68</v>
      </c>
      <c r="B174" t="s">
        <v>58</v>
      </c>
    </row>
    <row r="175" spans="1:4" x14ac:dyDescent="0.25">
      <c r="A175" t="s">
        <v>73</v>
      </c>
      <c r="B175" t="s">
        <v>92</v>
      </c>
    </row>
    <row r="176" spans="1:4" x14ac:dyDescent="0.25">
      <c r="A176" t="s">
        <v>75</v>
      </c>
      <c r="B176">
        <v>716482.91</v>
      </c>
      <c r="C176">
        <v>249015.24</v>
      </c>
      <c r="D176">
        <v>4</v>
      </c>
    </row>
    <row r="178" spans="1:4" x14ac:dyDescent="0.25">
      <c r="A178" t="s">
        <v>70</v>
      </c>
    </row>
    <row r="179" spans="1:4" x14ac:dyDescent="0.25">
      <c r="A179" t="s">
        <v>71</v>
      </c>
      <c r="B179" t="s">
        <v>93</v>
      </c>
    </row>
    <row r="180" spans="1:4" x14ac:dyDescent="0.25">
      <c r="A180" t="s">
        <v>68</v>
      </c>
      <c r="B180" t="s">
        <v>58</v>
      </c>
    </row>
    <row r="181" spans="1:4" x14ac:dyDescent="0.25">
      <c r="A181" t="s">
        <v>73</v>
      </c>
      <c r="B181" t="s">
        <v>94</v>
      </c>
    </row>
    <row r="182" spans="1:4" x14ac:dyDescent="0.25">
      <c r="A182" t="s">
        <v>75</v>
      </c>
      <c r="B182">
        <v>716688.08</v>
      </c>
      <c r="C182">
        <v>248550.04</v>
      </c>
      <c r="D182">
        <v>4</v>
      </c>
    </row>
    <row r="185" spans="1:4" x14ac:dyDescent="0.25">
      <c r="A185" t="s">
        <v>95</v>
      </c>
    </row>
    <row r="186" spans="1:4" x14ac:dyDescent="0.25">
      <c r="A186" t="s">
        <v>53</v>
      </c>
      <c r="B186">
        <v>4</v>
      </c>
    </row>
    <row r="188" spans="1:4" x14ac:dyDescent="0.25">
      <c r="A188" t="s">
        <v>96</v>
      </c>
    </row>
    <row r="189" spans="1:4" x14ac:dyDescent="0.25">
      <c r="A189" t="s">
        <v>71</v>
      </c>
      <c r="B189" t="s">
        <v>97</v>
      </c>
    </row>
    <row r="190" spans="1:4" x14ac:dyDescent="0.25">
      <c r="A190" t="s">
        <v>68</v>
      </c>
      <c r="B190" t="s">
        <v>58</v>
      </c>
    </row>
    <row r="191" spans="1:4" x14ac:dyDescent="0.25">
      <c r="A191" t="s">
        <v>75</v>
      </c>
      <c r="B191">
        <v>716602.88</v>
      </c>
      <c r="C191">
        <v>248240.4</v>
      </c>
      <c r="D191">
        <v>2.64</v>
      </c>
    </row>
    <row r="192" spans="1:4" x14ac:dyDescent="0.25">
      <c r="A192" t="s">
        <v>98</v>
      </c>
      <c r="B192">
        <v>716325.8</v>
      </c>
      <c r="C192">
        <v>248367.9</v>
      </c>
      <c r="D192">
        <v>2.23</v>
      </c>
    </row>
    <row r="193" spans="1:4" x14ac:dyDescent="0.25">
      <c r="A193" t="s">
        <v>99</v>
      </c>
      <c r="B193" t="s">
        <v>100</v>
      </c>
    </row>
    <row r="195" spans="1:4" x14ac:dyDescent="0.25">
      <c r="A195" t="s">
        <v>96</v>
      </c>
    </row>
    <row r="196" spans="1:4" x14ac:dyDescent="0.25">
      <c r="A196" t="s">
        <v>71</v>
      </c>
      <c r="B196" t="s">
        <v>101</v>
      </c>
    </row>
    <row r="197" spans="1:4" x14ac:dyDescent="0.25">
      <c r="A197" t="s">
        <v>68</v>
      </c>
      <c r="B197" t="s">
        <v>102</v>
      </c>
    </row>
    <row r="198" spans="1:4" x14ac:dyDescent="0.25">
      <c r="A198" t="s">
        <v>75</v>
      </c>
      <c r="B198">
        <v>716602.88</v>
      </c>
      <c r="C198">
        <v>248240.4</v>
      </c>
      <c r="D198">
        <v>2.64</v>
      </c>
    </row>
    <row r="199" spans="1:4" x14ac:dyDescent="0.25">
      <c r="A199" t="s">
        <v>98</v>
      </c>
      <c r="B199">
        <v>716325.8</v>
      </c>
      <c r="C199">
        <v>248367.8</v>
      </c>
      <c r="D199">
        <v>2.23</v>
      </c>
    </row>
    <row r="200" spans="1:4" x14ac:dyDescent="0.25">
      <c r="A200" t="s">
        <v>99</v>
      </c>
      <c r="B200" t="s">
        <v>103</v>
      </c>
    </row>
    <row r="202" spans="1:4" x14ac:dyDescent="0.25">
      <c r="A202" t="s">
        <v>96</v>
      </c>
    </row>
    <row r="203" spans="1:4" x14ac:dyDescent="0.25">
      <c r="A203" t="s">
        <v>71</v>
      </c>
      <c r="B203" t="s">
        <v>104</v>
      </c>
    </row>
    <row r="204" spans="1:4" x14ac:dyDescent="0.25">
      <c r="A204" t="s">
        <v>68</v>
      </c>
      <c r="B204" t="s">
        <v>58</v>
      </c>
    </row>
    <row r="205" spans="1:4" x14ac:dyDescent="0.25">
      <c r="A205" t="s">
        <v>75</v>
      </c>
      <c r="B205">
        <v>716605.54</v>
      </c>
      <c r="C205">
        <v>248246.42</v>
      </c>
      <c r="D205">
        <v>1.1399999999999999</v>
      </c>
    </row>
    <row r="206" spans="1:4" x14ac:dyDescent="0.25">
      <c r="A206" t="s">
        <v>98</v>
      </c>
      <c r="B206">
        <v>716331</v>
      </c>
      <c r="C206">
        <v>248374.9</v>
      </c>
      <c r="D206">
        <v>1.2</v>
      </c>
    </row>
    <row r="207" spans="1:4" x14ac:dyDescent="0.25">
      <c r="A207" t="s">
        <v>99</v>
      </c>
      <c r="B207" t="s">
        <v>105</v>
      </c>
    </row>
    <row r="209" spans="1:4" x14ac:dyDescent="0.25">
      <c r="A209" t="s">
        <v>96</v>
      </c>
    </row>
    <row r="210" spans="1:4" x14ac:dyDescent="0.25">
      <c r="A210" t="s">
        <v>71</v>
      </c>
      <c r="B210" t="s">
        <v>106</v>
      </c>
    </row>
    <row r="211" spans="1:4" x14ac:dyDescent="0.25">
      <c r="A211" t="s">
        <v>68</v>
      </c>
      <c r="B211" t="s">
        <v>102</v>
      </c>
    </row>
    <row r="212" spans="1:4" x14ac:dyDescent="0.25">
      <c r="A212" t="s">
        <v>75</v>
      </c>
      <c r="B212">
        <v>716605.54</v>
      </c>
      <c r="C212">
        <v>248246.42</v>
      </c>
      <c r="D212">
        <v>1.1399999999999999</v>
      </c>
    </row>
    <row r="213" spans="1:4" x14ac:dyDescent="0.25">
      <c r="A213" t="s">
        <v>98</v>
      </c>
      <c r="B213">
        <v>716331</v>
      </c>
      <c r="C213">
        <v>248374.9</v>
      </c>
      <c r="D213">
        <v>1.2</v>
      </c>
    </row>
    <row r="214" spans="1:4" x14ac:dyDescent="0.25">
      <c r="A214" t="s">
        <v>99</v>
      </c>
      <c r="B214" t="s">
        <v>103</v>
      </c>
    </row>
    <row r="217" spans="1:4" x14ac:dyDescent="0.25">
      <c r="A217" t="s">
        <v>107</v>
      </c>
    </row>
    <row r="218" spans="1:4" x14ac:dyDescent="0.25">
      <c r="A218" t="s">
        <v>53</v>
      </c>
      <c r="B218">
        <v>1</v>
      </c>
    </row>
    <row r="220" spans="1:4" x14ac:dyDescent="0.25">
      <c r="A220" t="s">
        <v>108</v>
      </c>
    </row>
    <row r="221" spans="1:4" x14ac:dyDescent="0.25">
      <c r="A221" t="s">
        <v>71</v>
      </c>
      <c r="B221" t="s">
        <v>109</v>
      </c>
    </row>
    <row r="222" spans="1:4" x14ac:dyDescent="0.25">
      <c r="A222" t="s">
        <v>68</v>
      </c>
      <c r="B222" t="s">
        <v>58</v>
      </c>
    </row>
    <row r="223" spans="1:4" x14ac:dyDescent="0.25">
      <c r="A223" t="s">
        <v>110</v>
      </c>
      <c r="B223">
        <v>716601.9</v>
      </c>
      <c r="C223">
        <v>248237.8</v>
      </c>
      <c r="D223">
        <v>4</v>
      </c>
    </row>
    <row r="224" spans="1:4" x14ac:dyDescent="0.25">
      <c r="A224" t="s">
        <v>111</v>
      </c>
      <c r="B224">
        <v>716606.9</v>
      </c>
      <c r="C224">
        <v>248249.1</v>
      </c>
    </row>
    <row r="225" spans="1:2" x14ac:dyDescent="0.25">
      <c r="A225" t="s">
        <v>112</v>
      </c>
      <c r="B225">
        <v>8</v>
      </c>
    </row>
    <row r="226" spans="1:2" x14ac:dyDescent="0.25">
      <c r="A226" t="s">
        <v>113</v>
      </c>
      <c r="B226">
        <v>4</v>
      </c>
    </row>
    <row r="227" spans="1:2" x14ac:dyDescent="0.25">
      <c r="A227" t="s">
        <v>114</v>
      </c>
      <c r="B227">
        <v>6</v>
      </c>
    </row>
    <row r="228" spans="1:2" x14ac:dyDescent="0.25">
      <c r="A228" t="s">
        <v>115</v>
      </c>
      <c r="B228">
        <v>10</v>
      </c>
    </row>
    <row r="229" spans="1:2" x14ac:dyDescent="0.25">
      <c r="A229" t="s">
        <v>116</v>
      </c>
      <c r="B229">
        <v>4</v>
      </c>
    </row>
    <row r="230" spans="1:2" x14ac:dyDescent="0.25">
      <c r="A230" t="s">
        <v>117</v>
      </c>
      <c r="B230">
        <v>0</v>
      </c>
    </row>
    <row r="231" spans="1:2" x14ac:dyDescent="0.25">
      <c r="A231" t="s">
        <v>118</v>
      </c>
      <c r="B231">
        <v>0</v>
      </c>
    </row>
    <row r="232" spans="1:2" x14ac:dyDescent="0.25">
      <c r="A232" t="s">
        <v>119</v>
      </c>
      <c r="B232" t="s">
        <v>120</v>
      </c>
    </row>
    <row r="233" spans="1:2" x14ac:dyDescent="0.25">
      <c r="A233" t="s">
        <v>121</v>
      </c>
      <c r="B233" t="s">
        <v>120</v>
      </c>
    </row>
    <row r="234" spans="1:2" x14ac:dyDescent="0.25">
      <c r="A234" t="s">
        <v>122</v>
      </c>
      <c r="B234" t="s">
        <v>120</v>
      </c>
    </row>
    <row r="237" spans="1:2" x14ac:dyDescent="0.25">
      <c r="A237" t="s">
        <v>123</v>
      </c>
    </row>
    <row r="238" spans="1:2" x14ac:dyDescent="0.25">
      <c r="A238" t="s">
        <v>53</v>
      </c>
      <c r="B238">
        <v>0</v>
      </c>
    </row>
    <row r="241" spans="1:5" x14ac:dyDescent="0.25">
      <c r="A241" t="s">
        <v>124</v>
      </c>
    </row>
    <row r="242" spans="1:5" x14ac:dyDescent="0.25">
      <c r="A242" t="s">
        <v>53</v>
      </c>
      <c r="B242">
        <v>2</v>
      </c>
    </row>
    <row r="244" spans="1:5" x14ac:dyDescent="0.25">
      <c r="A244" t="s">
        <v>125</v>
      </c>
    </row>
    <row r="245" spans="1:5" x14ac:dyDescent="0.25">
      <c r="A245" t="s">
        <v>71</v>
      </c>
      <c r="B245" t="s">
        <v>126</v>
      </c>
    </row>
    <row r="246" spans="1:5" x14ac:dyDescent="0.25">
      <c r="A246" t="s">
        <v>68</v>
      </c>
      <c r="B246" t="s">
        <v>58</v>
      </c>
    </row>
    <row r="247" spans="1:5" x14ac:dyDescent="0.25">
      <c r="A247" t="s">
        <v>127</v>
      </c>
      <c r="B247" t="s">
        <v>120</v>
      </c>
    </row>
    <row r="248" spans="1:5" x14ac:dyDescent="0.25">
      <c r="A248" t="s">
        <v>75</v>
      </c>
      <c r="B248">
        <v>2</v>
      </c>
    </row>
    <row r="249" spans="1:5" x14ac:dyDescent="0.25">
      <c r="B249">
        <v>716418.12</v>
      </c>
      <c r="C249">
        <v>248318.89</v>
      </c>
      <c r="D249">
        <v>5</v>
      </c>
      <c r="E249">
        <v>0</v>
      </c>
    </row>
    <row r="250" spans="1:5" x14ac:dyDescent="0.25">
      <c r="B250">
        <v>716447.81</v>
      </c>
      <c r="C250">
        <v>248306.41</v>
      </c>
      <c r="D250">
        <v>5</v>
      </c>
      <c r="E250">
        <v>0</v>
      </c>
    </row>
    <row r="252" spans="1:5" x14ac:dyDescent="0.25">
      <c r="A252" t="s">
        <v>125</v>
      </c>
    </row>
    <row r="253" spans="1:5" x14ac:dyDescent="0.25">
      <c r="A253" t="s">
        <v>71</v>
      </c>
      <c r="B253" t="s">
        <v>128</v>
      </c>
    </row>
    <row r="254" spans="1:5" x14ac:dyDescent="0.25">
      <c r="A254" t="s">
        <v>68</v>
      </c>
      <c r="B254" t="s">
        <v>58</v>
      </c>
    </row>
    <row r="255" spans="1:5" x14ac:dyDescent="0.25">
      <c r="A255" t="s">
        <v>127</v>
      </c>
      <c r="B255" t="s">
        <v>120</v>
      </c>
    </row>
    <row r="256" spans="1:5" x14ac:dyDescent="0.25">
      <c r="A256" t="s">
        <v>75</v>
      </c>
      <c r="B256">
        <v>2</v>
      </c>
    </row>
    <row r="257" spans="1:5" x14ac:dyDescent="0.25">
      <c r="B257">
        <v>716590</v>
      </c>
      <c r="C257">
        <v>248241.91</v>
      </c>
      <c r="D257">
        <v>6</v>
      </c>
      <c r="E257">
        <v>4</v>
      </c>
    </row>
    <row r="258" spans="1:5" x14ac:dyDescent="0.25">
      <c r="B258">
        <v>716594.87</v>
      </c>
      <c r="C258">
        <v>248254.14</v>
      </c>
      <c r="D258">
        <v>6</v>
      </c>
      <c r="E258">
        <v>4</v>
      </c>
    </row>
    <row r="261" spans="1:5" x14ac:dyDescent="0.25">
      <c r="A261" t="s">
        <v>129</v>
      </c>
    </row>
    <row r="262" spans="1:5" x14ac:dyDescent="0.25">
      <c r="A262" t="s">
        <v>53</v>
      </c>
      <c r="B262">
        <v>1</v>
      </c>
    </row>
    <row r="264" spans="1:5" x14ac:dyDescent="0.25">
      <c r="A264" t="s">
        <v>130</v>
      </c>
    </row>
    <row r="265" spans="1:5" x14ac:dyDescent="0.25">
      <c r="A265" t="s">
        <v>71</v>
      </c>
      <c r="B265" t="s">
        <v>131</v>
      </c>
    </row>
    <row r="266" spans="1:5" x14ac:dyDescent="0.25">
      <c r="A266" t="s">
        <v>68</v>
      </c>
      <c r="B266" t="s">
        <v>58</v>
      </c>
    </row>
    <row r="267" spans="1:5" x14ac:dyDescent="0.25">
      <c r="A267" t="s">
        <v>132</v>
      </c>
      <c r="B267">
        <v>10</v>
      </c>
    </row>
    <row r="268" spans="1:5" x14ac:dyDescent="0.25">
      <c r="A268" t="s">
        <v>133</v>
      </c>
      <c r="B268">
        <v>4</v>
      </c>
    </row>
    <row r="269" spans="1:5" x14ac:dyDescent="0.25">
      <c r="A269" t="s">
        <v>75</v>
      </c>
      <c r="B269">
        <v>4</v>
      </c>
    </row>
    <row r="270" spans="1:5" x14ac:dyDescent="0.25">
      <c r="B270">
        <v>715600</v>
      </c>
      <c r="C270">
        <v>249400</v>
      </c>
    </row>
    <row r="271" spans="1:5" x14ac:dyDescent="0.25">
      <c r="B271">
        <v>717600</v>
      </c>
      <c r="C271">
        <v>249400</v>
      </c>
    </row>
    <row r="272" spans="1:5" x14ac:dyDescent="0.25">
      <c r="B272">
        <v>717600</v>
      </c>
      <c r="C272">
        <v>247400</v>
      </c>
    </row>
    <row r="273" spans="1:3" x14ac:dyDescent="0.25">
      <c r="B273">
        <v>715600</v>
      </c>
      <c r="C273">
        <v>247400</v>
      </c>
    </row>
    <row r="276" spans="1:3" x14ac:dyDescent="0.25">
      <c r="A276" t="s">
        <v>134</v>
      </c>
    </row>
    <row r="277" spans="1:3" x14ac:dyDescent="0.25">
      <c r="A277" t="s">
        <v>53</v>
      </c>
      <c r="B277">
        <v>15</v>
      </c>
    </row>
    <row r="279" spans="1:3" x14ac:dyDescent="0.25">
      <c r="A279" t="s">
        <v>135</v>
      </c>
    </row>
    <row r="280" spans="1:3" x14ac:dyDescent="0.25">
      <c r="A280" t="s">
        <v>71</v>
      </c>
      <c r="B280" t="s">
        <v>136</v>
      </c>
    </row>
    <row r="281" spans="1:3" x14ac:dyDescent="0.25">
      <c r="A281" t="s">
        <v>68</v>
      </c>
      <c r="B281" t="s">
        <v>58</v>
      </c>
    </row>
    <row r="282" spans="1:3" x14ac:dyDescent="0.25">
      <c r="A282" t="s">
        <v>137</v>
      </c>
      <c r="B282" t="s">
        <v>138</v>
      </c>
    </row>
    <row r="283" spans="1:3" x14ac:dyDescent="0.25">
      <c r="A283" t="s">
        <v>139</v>
      </c>
      <c r="B283">
        <v>249.65</v>
      </c>
    </row>
    <row r="284" spans="1:3" x14ac:dyDescent="0.25">
      <c r="A284" t="s">
        <v>140</v>
      </c>
      <c r="B284">
        <v>0.1021</v>
      </c>
    </row>
    <row r="285" spans="1:3" x14ac:dyDescent="0.25">
      <c r="A285" t="s">
        <v>141</v>
      </c>
      <c r="B285">
        <v>6.7799999999999999E-2</v>
      </c>
    </row>
    <row r="286" spans="1:3" x14ac:dyDescent="0.25">
      <c r="A286" t="s">
        <v>142</v>
      </c>
      <c r="B286">
        <v>0</v>
      </c>
    </row>
    <row r="287" spans="1:3" x14ac:dyDescent="0.25">
      <c r="A287" t="s">
        <v>143</v>
      </c>
      <c r="B287">
        <v>4.46</v>
      </c>
    </row>
    <row r="288" spans="1:3" x14ac:dyDescent="0.25">
      <c r="A288" t="s">
        <v>144</v>
      </c>
      <c r="B288">
        <v>84.24</v>
      </c>
    </row>
    <row r="290" spans="1:2" x14ac:dyDescent="0.25">
      <c r="A290" t="s">
        <v>135</v>
      </c>
    </row>
    <row r="291" spans="1:2" x14ac:dyDescent="0.25">
      <c r="A291" t="s">
        <v>71</v>
      </c>
      <c r="B291" t="s">
        <v>145</v>
      </c>
    </row>
    <row r="292" spans="1:2" x14ac:dyDescent="0.25">
      <c r="A292" t="s">
        <v>68</v>
      </c>
      <c r="B292" t="s">
        <v>58</v>
      </c>
    </row>
    <row r="293" spans="1:2" x14ac:dyDescent="0.25">
      <c r="A293" t="s">
        <v>137</v>
      </c>
      <c r="B293" t="s">
        <v>146</v>
      </c>
    </row>
    <row r="294" spans="1:2" x14ac:dyDescent="0.25">
      <c r="A294" t="s">
        <v>139</v>
      </c>
      <c r="B294">
        <v>234.89999</v>
      </c>
    </row>
    <row r="295" spans="1:2" x14ac:dyDescent="0.25">
      <c r="A295" t="s">
        <v>140</v>
      </c>
      <c r="B295">
        <v>6.3399999999999998E-2</v>
      </c>
    </row>
    <row r="296" spans="1:2" x14ac:dyDescent="0.25">
      <c r="A296" t="s">
        <v>141</v>
      </c>
      <c r="B296">
        <v>0</v>
      </c>
    </row>
    <row r="297" spans="1:2" x14ac:dyDescent="0.25">
      <c r="A297" t="s">
        <v>142</v>
      </c>
      <c r="B297">
        <v>0</v>
      </c>
    </row>
    <row r="298" spans="1:2" x14ac:dyDescent="0.25">
      <c r="A298" t="s">
        <v>143</v>
      </c>
      <c r="B298">
        <v>14.19</v>
      </c>
    </row>
    <row r="299" spans="1:2" x14ac:dyDescent="0.25">
      <c r="A299" t="s">
        <v>144</v>
      </c>
      <c r="B299">
        <v>63.59</v>
      </c>
    </row>
    <row r="301" spans="1:2" x14ac:dyDescent="0.25">
      <c r="A301" t="s">
        <v>135</v>
      </c>
    </row>
    <row r="302" spans="1:2" x14ac:dyDescent="0.25">
      <c r="A302" t="s">
        <v>71</v>
      </c>
      <c r="B302" t="s">
        <v>147</v>
      </c>
    </row>
    <row r="303" spans="1:2" x14ac:dyDescent="0.25">
      <c r="A303" t="s">
        <v>68</v>
      </c>
      <c r="B303" t="s">
        <v>58</v>
      </c>
    </row>
    <row r="304" spans="1:2" x14ac:dyDescent="0.25">
      <c r="A304" t="s">
        <v>137</v>
      </c>
      <c r="B304" t="s">
        <v>148</v>
      </c>
    </row>
    <row r="305" spans="1:2" x14ac:dyDescent="0.25">
      <c r="A305" t="s">
        <v>139</v>
      </c>
      <c r="B305">
        <v>60.5</v>
      </c>
    </row>
    <row r="306" spans="1:2" x14ac:dyDescent="0.25">
      <c r="A306" t="s">
        <v>140</v>
      </c>
      <c r="B306">
        <v>4.4500000999999997E-2</v>
      </c>
    </row>
    <row r="307" spans="1:2" x14ac:dyDescent="0.25">
      <c r="A307" t="s">
        <v>141</v>
      </c>
      <c r="B307">
        <v>3.2200000999999999E-2</v>
      </c>
    </row>
    <row r="308" spans="1:2" x14ac:dyDescent="0.25">
      <c r="A308" t="s">
        <v>142</v>
      </c>
      <c r="B308">
        <v>0</v>
      </c>
    </row>
    <row r="309" spans="1:2" x14ac:dyDescent="0.25">
      <c r="A309" t="s">
        <v>143</v>
      </c>
      <c r="B309">
        <v>6.1700001000000002</v>
      </c>
    </row>
    <row r="310" spans="1:2" x14ac:dyDescent="0.25">
      <c r="A310" t="s">
        <v>144</v>
      </c>
      <c r="B310">
        <v>84.269997000000004</v>
      </c>
    </row>
    <row r="312" spans="1:2" x14ac:dyDescent="0.25">
      <c r="A312" t="s">
        <v>135</v>
      </c>
    </row>
    <row r="313" spans="1:2" x14ac:dyDescent="0.25">
      <c r="A313" t="s">
        <v>71</v>
      </c>
      <c r="B313" t="s">
        <v>149</v>
      </c>
    </row>
    <row r="314" spans="1:2" x14ac:dyDescent="0.25">
      <c r="A314" t="s">
        <v>68</v>
      </c>
      <c r="B314" t="s">
        <v>58</v>
      </c>
    </row>
    <row r="315" spans="1:2" x14ac:dyDescent="0.25">
      <c r="A315" t="s">
        <v>137</v>
      </c>
      <c r="B315" t="s">
        <v>148</v>
      </c>
    </row>
    <row r="316" spans="1:2" x14ac:dyDescent="0.25">
      <c r="A316" t="s">
        <v>139</v>
      </c>
      <c r="B316">
        <v>216.45</v>
      </c>
    </row>
    <row r="317" spans="1:2" x14ac:dyDescent="0.25">
      <c r="A317" t="s">
        <v>140</v>
      </c>
      <c r="B317">
        <v>4.2100000999999998E-2</v>
      </c>
    </row>
    <row r="318" spans="1:2" x14ac:dyDescent="0.25">
      <c r="A318" t="s">
        <v>141</v>
      </c>
      <c r="B318">
        <v>2.8799999999999999E-2</v>
      </c>
    </row>
    <row r="319" spans="1:2" x14ac:dyDescent="0.25">
      <c r="A319" t="s">
        <v>142</v>
      </c>
      <c r="B319">
        <v>0</v>
      </c>
    </row>
    <row r="320" spans="1:2" x14ac:dyDescent="0.25">
      <c r="A320" t="s">
        <v>143</v>
      </c>
      <c r="B320">
        <v>6.1700001000000002</v>
      </c>
    </row>
    <row r="321" spans="1:2" x14ac:dyDescent="0.25">
      <c r="A321" t="s">
        <v>144</v>
      </c>
      <c r="B321">
        <v>84.269997000000004</v>
      </c>
    </row>
    <row r="323" spans="1:2" x14ac:dyDescent="0.25">
      <c r="A323" t="s">
        <v>135</v>
      </c>
    </row>
    <row r="324" spans="1:2" x14ac:dyDescent="0.25">
      <c r="A324" t="s">
        <v>71</v>
      </c>
      <c r="B324" t="s">
        <v>150</v>
      </c>
    </row>
    <row r="325" spans="1:2" x14ac:dyDescent="0.25">
      <c r="A325" t="s">
        <v>68</v>
      </c>
      <c r="B325" t="s">
        <v>58</v>
      </c>
    </row>
    <row r="326" spans="1:2" x14ac:dyDescent="0.25">
      <c r="A326" t="s">
        <v>137</v>
      </c>
      <c r="B326" t="s">
        <v>146</v>
      </c>
    </row>
    <row r="327" spans="1:2" x14ac:dyDescent="0.25">
      <c r="A327" t="s">
        <v>139</v>
      </c>
      <c r="B327">
        <v>272.5</v>
      </c>
    </row>
    <row r="328" spans="1:2" x14ac:dyDescent="0.25">
      <c r="A328" t="s">
        <v>140</v>
      </c>
      <c r="B328">
        <v>4.5499998999999999E-2</v>
      </c>
    </row>
    <row r="329" spans="1:2" x14ac:dyDescent="0.25">
      <c r="A329" t="s">
        <v>141</v>
      </c>
      <c r="B329">
        <v>0</v>
      </c>
    </row>
    <row r="330" spans="1:2" x14ac:dyDescent="0.25">
      <c r="A330" t="s">
        <v>142</v>
      </c>
      <c r="B330">
        <v>0</v>
      </c>
    </row>
    <row r="331" spans="1:2" x14ac:dyDescent="0.25">
      <c r="A331" t="s">
        <v>143</v>
      </c>
      <c r="B331">
        <v>14.19</v>
      </c>
    </row>
    <row r="332" spans="1:2" x14ac:dyDescent="0.25">
      <c r="A332" t="s">
        <v>144</v>
      </c>
      <c r="B332">
        <v>63.59</v>
      </c>
    </row>
    <row r="334" spans="1:2" x14ac:dyDescent="0.25">
      <c r="A334" t="s">
        <v>135</v>
      </c>
    </row>
    <row r="335" spans="1:2" x14ac:dyDescent="0.25">
      <c r="A335" t="s">
        <v>71</v>
      </c>
      <c r="B335" t="s">
        <v>151</v>
      </c>
    </row>
    <row r="336" spans="1:2" x14ac:dyDescent="0.25">
      <c r="A336" t="s">
        <v>68</v>
      </c>
      <c r="B336" t="s">
        <v>58</v>
      </c>
    </row>
    <row r="337" spans="1:2" x14ac:dyDescent="0.25">
      <c r="A337" t="s">
        <v>137</v>
      </c>
      <c r="B337" t="s">
        <v>152</v>
      </c>
    </row>
    <row r="338" spans="1:2" x14ac:dyDescent="0.25">
      <c r="A338" t="s">
        <v>139</v>
      </c>
      <c r="B338">
        <v>261.10001</v>
      </c>
    </row>
    <row r="339" spans="1:2" x14ac:dyDescent="0.25">
      <c r="A339" t="s">
        <v>140</v>
      </c>
      <c r="B339">
        <v>4.5499998999999999E-2</v>
      </c>
    </row>
    <row r="340" spans="1:2" x14ac:dyDescent="0.25">
      <c r="A340" t="s">
        <v>141</v>
      </c>
      <c r="B340">
        <v>0</v>
      </c>
    </row>
    <row r="341" spans="1:2" x14ac:dyDescent="0.25">
      <c r="A341" t="s">
        <v>142</v>
      </c>
      <c r="B341">
        <v>0</v>
      </c>
    </row>
    <row r="342" spans="1:2" x14ac:dyDescent="0.25">
      <c r="A342" t="s">
        <v>143</v>
      </c>
      <c r="B342">
        <v>11.83</v>
      </c>
    </row>
    <row r="343" spans="1:2" x14ac:dyDescent="0.25">
      <c r="A343" t="s">
        <v>144</v>
      </c>
      <c r="B343">
        <v>62.32</v>
      </c>
    </row>
    <row r="345" spans="1:2" x14ac:dyDescent="0.25">
      <c r="A345" t="s">
        <v>135</v>
      </c>
    </row>
    <row r="346" spans="1:2" x14ac:dyDescent="0.25">
      <c r="A346" t="s">
        <v>71</v>
      </c>
      <c r="B346" t="s">
        <v>153</v>
      </c>
    </row>
    <row r="347" spans="1:2" x14ac:dyDescent="0.25">
      <c r="A347" t="s">
        <v>68</v>
      </c>
      <c r="B347" t="s">
        <v>58</v>
      </c>
    </row>
    <row r="348" spans="1:2" x14ac:dyDescent="0.25">
      <c r="A348" t="s">
        <v>137</v>
      </c>
      <c r="B348" t="s">
        <v>154</v>
      </c>
    </row>
    <row r="349" spans="1:2" x14ac:dyDescent="0.25">
      <c r="A349" t="s">
        <v>139</v>
      </c>
      <c r="B349">
        <v>225.64999</v>
      </c>
    </row>
    <row r="350" spans="1:2" x14ac:dyDescent="0.25">
      <c r="A350" t="s">
        <v>140</v>
      </c>
      <c r="B350">
        <v>8.2000000000000007E-3</v>
      </c>
    </row>
    <row r="351" spans="1:2" x14ac:dyDescent="0.25">
      <c r="A351" t="s">
        <v>141</v>
      </c>
      <c r="B351">
        <v>0.1116</v>
      </c>
    </row>
    <row r="352" spans="1:2" x14ac:dyDescent="0.25">
      <c r="A352" t="s">
        <v>142</v>
      </c>
      <c r="B352">
        <v>0</v>
      </c>
    </row>
    <row r="353" spans="1:2" x14ac:dyDescent="0.25">
      <c r="A353" t="s">
        <v>143</v>
      </c>
      <c r="B353">
        <v>6.5</v>
      </c>
    </row>
    <row r="354" spans="1:2" x14ac:dyDescent="0.25">
      <c r="A354" t="s">
        <v>144</v>
      </c>
      <c r="B354">
        <v>74.800003000000004</v>
      </c>
    </row>
    <row r="356" spans="1:2" x14ac:dyDescent="0.25">
      <c r="A356" t="s">
        <v>135</v>
      </c>
    </row>
    <row r="357" spans="1:2" x14ac:dyDescent="0.25">
      <c r="A357" t="s">
        <v>71</v>
      </c>
      <c r="B357" t="s">
        <v>155</v>
      </c>
    </row>
    <row r="358" spans="1:2" x14ac:dyDescent="0.25">
      <c r="A358" t="s">
        <v>68</v>
      </c>
      <c r="B358" t="s">
        <v>58</v>
      </c>
    </row>
    <row r="359" spans="1:2" x14ac:dyDescent="0.25">
      <c r="A359" t="s">
        <v>137</v>
      </c>
      <c r="B359" t="s">
        <v>156</v>
      </c>
    </row>
    <row r="360" spans="1:2" x14ac:dyDescent="0.25">
      <c r="A360" t="s">
        <v>139</v>
      </c>
      <c r="B360">
        <v>0</v>
      </c>
    </row>
    <row r="361" spans="1:2" x14ac:dyDescent="0.25">
      <c r="A361" t="s">
        <v>140</v>
      </c>
      <c r="B361">
        <v>1.37E-2</v>
      </c>
    </row>
    <row r="362" spans="1:2" x14ac:dyDescent="0.25">
      <c r="A362" t="s">
        <v>141</v>
      </c>
      <c r="B362">
        <v>8.2199997999999996E-2</v>
      </c>
    </row>
    <row r="363" spans="1:2" x14ac:dyDescent="0.25">
      <c r="A363" t="s">
        <v>142</v>
      </c>
      <c r="B363">
        <v>0</v>
      </c>
    </row>
    <row r="364" spans="1:2" x14ac:dyDescent="0.25">
      <c r="A364" t="s">
        <v>143</v>
      </c>
      <c r="B364">
        <v>5.5900002000000004</v>
      </c>
    </row>
    <row r="365" spans="1:2" x14ac:dyDescent="0.25">
      <c r="A365" t="s">
        <v>144</v>
      </c>
      <c r="B365">
        <v>72.199996999999996</v>
      </c>
    </row>
    <row r="367" spans="1:2" x14ac:dyDescent="0.25">
      <c r="A367" t="s">
        <v>135</v>
      </c>
    </row>
    <row r="368" spans="1:2" x14ac:dyDescent="0.25">
      <c r="A368" t="s">
        <v>71</v>
      </c>
      <c r="B368" t="s">
        <v>157</v>
      </c>
    </row>
    <row r="369" spans="1:2" x14ac:dyDescent="0.25">
      <c r="A369" t="s">
        <v>68</v>
      </c>
      <c r="B369" t="s">
        <v>58</v>
      </c>
    </row>
    <row r="370" spans="1:2" x14ac:dyDescent="0.25">
      <c r="A370" t="s">
        <v>137</v>
      </c>
      <c r="B370" t="s">
        <v>158</v>
      </c>
    </row>
    <row r="371" spans="1:2" x14ac:dyDescent="0.25">
      <c r="A371" t="s">
        <v>139</v>
      </c>
      <c r="B371">
        <v>239.3</v>
      </c>
    </row>
    <row r="372" spans="1:2" x14ac:dyDescent="0.25">
      <c r="A372" t="s">
        <v>140</v>
      </c>
      <c r="B372">
        <v>3.9399999999999998E-2</v>
      </c>
    </row>
    <row r="373" spans="1:2" x14ac:dyDescent="0.25">
      <c r="A373" t="s">
        <v>141</v>
      </c>
      <c r="B373">
        <v>0</v>
      </c>
    </row>
    <row r="374" spans="1:2" x14ac:dyDescent="0.25">
      <c r="A374" t="s">
        <v>142</v>
      </c>
      <c r="B374">
        <v>0</v>
      </c>
    </row>
    <row r="375" spans="1:2" x14ac:dyDescent="0.25">
      <c r="A375" t="s">
        <v>143</v>
      </c>
      <c r="B375">
        <v>14.93</v>
      </c>
    </row>
    <row r="376" spans="1:2" x14ac:dyDescent="0.25">
      <c r="A376" t="s">
        <v>144</v>
      </c>
      <c r="B376">
        <v>62.540000999999997</v>
      </c>
    </row>
    <row r="378" spans="1:2" x14ac:dyDescent="0.25">
      <c r="A378" t="s">
        <v>135</v>
      </c>
    </row>
    <row r="379" spans="1:2" x14ac:dyDescent="0.25">
      <c r="A379" t="s">
        <v>71</v>
      </c>
      <c r="B379" t="s">
        <v>159</v>
      </c>
    </row>
    <row r="380" spans="1:2" x14ac:dyDescent="0.25">
      <c r="A380" t="s">
        <v>68</v>
      </c>
      <c r="B380" t="s">
        <v>58</v>
      </c>
    </row>
    <row r="381" spans="1:2" x14ac:dyDescent="0.25">
      <c r="A381" t="s">
        <v>137</v>
      </c>
      <c r="B381" t="s">
        <v>158</v>
      </c>
    </row>
    <row r="382" spans="1:2" x14ac:dyDescent="0.25">
      <c r="A382" t="s">
        <v>139</v>
      </c>
      <c r="B382">
        <v>51.900002000000001</v>
      </c>
    </row>
    <row r="383" spans="1:2" x14ac:dyDescent="0.25">
      <c r="A383" t="s">
        <v>140</v>
      </c>
      <c r="B383">
        <v>3.8699998999999999E-2</v>
      </c>
    </row>
    <row r="384" spans="1:2" x14ac:dyDescent="0.25">
      <c r="A384" t="s">
        <v>141</v>
      </c>
      <c r="B384">
        <v>0</v>
      </c>
    </row>
    <row r="385" spans="1:2" x14ac:dyDescent="0.25">
      <c r="A385" t="s">
        <v>142</v>
      </c>
      <c r="B385">
        <v>0</v>
      </c>
    </row>
    <row r="386" spans="1:2" x14ac:dyDescent="0.25">
      <c r="A386" t="s">
        <v>143</v>
      </c>
      <c r="B386">
        <v>14.93</v>
      </c>
    </row>
    <row r="387" spans="1:2" x14ac:dyDescent="0.25">
      <c r="A387" t="s">
        <v>144</v>
      </c>
      <c r="B387">
        <v>62.540000999999997</v>
      </c>
    </row>
    <row r="389" spans="1:2" x14ac:dyDescent="0.25">
      <c r="A389" t="s">
        <v>135</v>
      </c>
    </row>
    <row r="390" spans="1:2" x14ac:dyDescent="0.25">
      <c r="A390" t="s">
        <v>71</v>
      </c>
      <c r="B390" t="s">
        <v>160</v>
      </c>
    </row>
    <row r="391" spans="1:2" x14ac:dyDescent="0.25">
      <c r="A391" t="s">
        <v>68</v>
      </c>
      <c r="B391" t="s">
        <v>58</v>
      </c>
    </row>
    <row r="392" spans="1:2" x14ac:dyDescent="0.25">
      <c r="A392" t="s">
        <v>137</v>
      </c>
      <c r="B392" t="s">
        <v>146</v>
      </c>
    </row>
    <row r="393" spans="1:2" x14ac:dyDescent="0.25">
      <c r="A393" t="s">
        <v>139</v>
      </c>
      <c r="B393">
        <v>55.799999</v>
      </c>
    </row>
    <row r="394" spans="1:2" x14ac:dyDescent="0.25">
      <c r="A394" t="s">
        <v>140</v>
      </c>
      <c r="B394">
        <v>3.8699998999999999E-2</v>
      </c>
    </row>
    <row r="395" spans="1:2" x14ac:dyDescent="0.25">
      <c r="A395" t="s">
        <v>141</v>
      </c>
      <c r="B395">
        <v>0</v>
      </c>
    </row>
    <row r="396" spans="1:2" x14ac:dyDescent="0.25">
      <c r="A396" t="s">
        <v>142</v>
      </c>
      <c r="B396">
        <v>0</v>
      </c>
    </row>
    <row r="397" spans="1:2" x14ac:dyDescent="0.25">
      <c r="A397" t="s">
        <v>143</v>
      </c>
      <c r="B397">
        <v>14.19</v>
      </c>
    </row>
    <row r="398" spans="1:2" x14ac:dyDescent="0.25">
      <c r="A398" t="s">
        <v>144</v>
      </c>
      <c r="B398">
        <v>63.59</v>
      </c>
    </row>
    <row r="400" spans="1:2" x14ac:dyDescent="0.25">
      <c r="A400" t="s">
        <v>135</v>
      </c>
    </row>
    <row r="401" spans="1:2" x14ac:dyDescent="0.25">
      <c r="A401" t="s">
        <v>71</v>
      </c>
      <c r="B401" t="s">
        <v>161</v>
      </c>
    </row>
    <row r="402" spans="1:2" x14ac:dyDescent="0.25">
      <c r="A402" t="s">
        <v>68</v>
      </c>
      <c r="B402" t="s">
        <v>58</v>
      </c>
    </row>
    <row r="403" spans="1:2" x14ac:dyDescent="0.25">
      <c r="A403" t="s">
        <v>137</v>
      </c>
      <c r="B403" t="s">
        <v>162</v>
      </c>
    </row>
    <row r="404" spans="1:2" x14ac:dyDescent="0.25">
      <c r="A404" t="s">
        <v>139</v>
      </c>
      <c r="B404">
        <v>261.70001000000002</v>
      </c>
    </row>
    <row r="405" spans="1:2" x14ac:dyDescent="0.25">
      <c r="A405" t="s">
        <v>140</v>
      </c>
      <c r="B405">
        <v>3.5999997999999998E-2</v>
      </c>
    </row>
    <row r="406" spans="1:2" x14ac:dyDescent="0.25">
      <c r="A406" t="s">
        <v>141</v>
      </c>
      <c r="B406">
        <v>0</v>
      </c>
    </row>
    <row r="407" spans="1:2" x14ac:dyDescent="0.25">
      <c r="A407" t="s">
        <v>142</v>
      </c>
      <c r="B407">
        <v>0</v>
      </c>
    </row>
    <row r="408" spans="1:2" x14ac:dyDescent="0.25">
      <c r="A408" t="s">
        <v>143</v>
      </c>
      <c r="B408">
        <v>15.81</v>
      </c>
    </row>
    <row r="409" spans="1:2" x14ac:dyDescent="0.25">
      <c r="A409" t="s">
        <v>144</v>
      </c>
      <c r="B409">
        <v>63.610000999999997</v>
      </c>
    </row>
    <row r="411" spans="1:2" x14ac:dyDescent="0.25">
      <c r="A411" t="s">
        <v>135</v>
      </c>
    </row>
    <row r="412" spans="1:2" x14ac:dyDescent="0.25">
      <c r="A412" t="s">
        <v>71</v>
      </c>
      <c r="B412" t="s">
        <v>163</v>
      </c>
    </row>
    <row r="413" spans="1:2" x14ac:dyDescent="0.25">
      <c r="A413" t="s">
        <v>68</v>
      </c>
      <c r="B413" t="s">
        <v>58</v>
      </c>
    </row>
    <row r="414" spans="1:2" x14ac:dyDescent="0.25">
      <c r="A414" t="s">
        <v>137</v>
      </c>
      <c r="B414" t="s">
        <v>148</v>
      </c>
    </row>
    <row r="415" spans="1:2" x14ac:dyDescent="0.25">
      <c r="A415" t="s">
        <v>139</v>
      </c>
      <c r="B415">
        <v>263.89999</v>
      </c>
    </row>
    <row r="416" spans="1:2" x14ac:dyDescent="0.25">
      <c r="A416" t="s">
        <v>140</v>
      </c>
      <c r="B416">
        <v>3.5599999E-2</v>
      </c>
    </row>
    <row r="417" spans="1:2" x14ac:dyDescent="0.25">
      <c r="A417" t="s">
        <v>141</v>
      </c>
      <c r="B417">
        <v>0</v>
      </c>
    </row>
    <row r="418" spans="1:2" x14ac:dyDescent="0.25">
      <c r="A418" t="s">
        <v>142</v>
      </c>
      <c r="B418">
        <v>0</v>
      </c>
    </row>
    <row r="419" spans="1:2" x14ac:dyDescent="0.25">
      <c r="A419" t="s">
        <v>143</v>
      </c>
      <c r="B419">
        <v>6.1700001000000002</v>
      </c>
    </row>
    <row r="420" spans="1:2" x14ac:dyDescent="0.25">
      <c r="A420" t="s">
        <v>144</v>
      </c>
      <c r="B420">
        <v>84.269997000000004</v>
      </c>
    </row>
    <row r="422" spans="1:2" x14ac:dyDescent="0.25">
      <c r="A422" t="s">
        <v>135</v>
      </c>
    </row>
    <row r="423" spans="1:2" x14ac:dyDescent="0.25">
      <c r="A423" t="s">
        <v>71</v>
      </c>
      <c r="B423" t="s">
        <v>164</v>
      </c>
    </row>
    <row r="424" spans="1:2" x14ac:dyDescent="0.25">
      <c r="A424" t="s">
        <v>68</v>
      </c>
      <c r="B424" t="s">
        <v>58</v>
      </c>
    </row>
    <row r="425" spans="1:2" x14ac:dyDescent="0.25">
      <c r="A425" t="s">
        <v>137</v>
      </c>
      <c r="B425" t="s">
        <v>162</v>
      </c>
    </row>
    <row r="426" spans="1:2" x14ac:dyDescent="0.25">
      <c r="A426" t="s">
        <v>139</v>
      </c>
      <c r="B426">
        <v>49.799999</v>
      </c>
    </row>
    <row r="427" spans="1:2" x14ac:dyDescent="0.25">
      <c r="A427" t="s">
        <v>140</v>
      </c>
      <c r="B427">
        <v>3.5300001999999997E-2</v>
      </c>
    </row>
    <row r="428" spans="1:2" x14ac:dyDescent="0.25">
      <c r="A428" t="s">
        <v>141</v>
      </c>
      <c r="B428">
        <v>0</v>
      </c>
    </row>
    <row r="429" spans="1:2" x14ac:dyDescent="0.25">
      <c r="A429" t="s">
        <v>142</v>
      </c>
      <c r="B429">
        <v>0</v>
      </c>
    </row>
    <row r="430" spans="1:2" x14ac:dyDescent="0.25">
      <c r="A430" t="s">
        <v>143</v>
      </c>
      <c r="B430">
        <v>15.81</v>
      </c>
    </row>
    <row r="431" spans="1:2" x14ac:dyDescent="0.25">
      <c r="A431" t="s">
        <v>144</v>
      </c>
      <c r="B431">
        <v>63.610000999999997</v>
      </c>
    </row>
    <row r="433" spans="1:2" x14ac:dyDescent="0.25">
      <c r="A433" t="s">
        <v>135</v>
      </c>
    </row>
    <row r="434" spans="1:2" x14ac:dyDescent="0.25">
      <c r="A434" t="s">
        <v>71</v>
      </c>
      <c r="B434" t="s">
        <v>165</v>
      </c>
    </row>
    <row r="435" spans="1:2" x14ac:dyDescent="0.25">
      <c r="A435" t="s">
        <v>68</v>
      </c>
      <c r="B435" t="s">
        <v>58</v>
      </c>
    </row>
    <row r="436" spans="1:2" x14ac:dyDescent="0.25">
      <c r="A436" t="s">
        <v>137</v>
      </c>
      <c r="B436" t="s">
        <v>166</v>
      </c>
    </row>
    <row r="437" spans="1:2" x14ac:dyDescent="0.25">
      <c r="A437" t="s">
        <v>139</v>
      </c>
      <c r="B437">
        <v>251.5</v>
      </c>
    </row>
    <row r="438" spans="1:2" x14ac:dyDescent="0.25">
      <c r="A438" t="s">
        <v>140</v>
      </c>
      <c r="B438">
        <v>2.8400000000000002E-2</v>
      </c>
    </row>
    <row r="439" spans="1:2" x14ac:dyDescent="0.25">
      <c r="A439" t="s">
        <v>141</v>
      </c>
      <c r="B439">
        <v>1.78E-2</v>
      </c>
    </row>
    <row r="440" spans="1:2" x14ac:dyDescent="0.25">
      <c r="A440" t="s">
        <v>142</v>
      </c>
      <c r="B440">
        <v>0</v>
      </c>
    </row>
    <row r="441" spans="1:2" x14ac:dyDescent="0.25">
      <c r="A441" t="s">
        <v>143</v>
      </c>
      <c r="B441">
        <v>6.33</v>
      </c>
    </row>
    <row r="442" spans="1:2" x14ac:dyDescent="0.25">
      <c r="A442" t="s">
        <v>144</v>
      </c>
      <c r="B442">
        <v>85.11</v>
      </c>
    </row>
    <row r="447" spans="1:2" x14ac:dyDescent="0.25">
      <c r="A447" t="s">
        <v>0</v>
      </c>
    </row>
    <row r="448" spans="1:2" x14ac:dyDescent="0.25">
      <c r="A448" t="s">
        <v>372</v>
      </c>
    </row>
    <row r="449" spans="1:1" x14ac:dyDescent="0.25">
      <c r="A449" t="s">
        <v>0</v>
      </c>
    </row>
    <row r="450" spans="1:1" x14ac:dyDescent="0.25">
      <c r="A450" t="s">
        <v>167</v>
      </c>
    </row>
    <row r="451" spans="1:1" x14ac:dyDescent="0.25">
      <c r="A451" t="s">
        <v>168</v>
      </c>
    </row>
    <row r="452" spans="1:1" x14ac:dyDescent="0.25">
      <c r="A452" t="s">
        <v>169</v>
      </c>
    </row>
    <row r="453" spans="1:1" x14ac:dyDescent="0.25">
      <c r="A453" t="s">
        <v>170</v>
      </c>
    </row>
    <row r="454" spans="1:1" x14ac:dyDescent="0.25">
      <c r="A454" t="s">
        <v>171</v>
      </c>
    </row>
    <row r="455" spans="1:1" x14ac:dyDescent="0.25">
      <c r="A455" t="s">
        <v>169</v>
      </c>
    </row>
    <row r="456" spans="1:1" x14ac:dyDescent="0.25">
      <c r="A456" t="s">
        <v>172</v>
      </c>
    </row>
    <row r="458" spans="1:1" x14ac:dyDescent="0.25">
      <c r="A458" t="s">
        <v>173</v>
      </c>
    </row>
    <row r="459" spans="1:1" x14ac:dyDescent="0.25">
      <c r="A459" t="s">
        <v>174</v>
      </c>
    </row>
    <row r="460" spans="1:1" x14ac:dyDescent="0.25">
      <c r="A460" t="s">
        <v>175</v>
      </c>
    </row>
    <row r="461" spans="1:1" x14ac:dyDescent="0.25">
      <c r="A461" t="s">
        <v>176</v>
      </c>
    </row>
    <row r="462" spans="1:1" x14ac:dyDescent="0.25">
      <c r="A462" t="s">
        <v>177</v>
      </c>
    </row>
    <row r="463" spans="1:1" x14ac:dyDescent="0.25">
      <c r="A463" t="s">
        <v>178</v>
      </c>
    </row>
    <row r="464" spans="1:1" x14ac:dyDescent="0.25">
      <c r="A464" t="s">
        <v>179</v>
      </c>
    </row>
    <row r="465" spans="1:1" x14ac:dyDescent="0.25">
      <c r="A465" t="s">
        <v>180</v>
      </c>
    </row>
    <row r="466" spans="1:1" x14ac:dyDescent="0.25">
      <c r="A466" t="s">
        <v>181</v>
      </c>
    </row>
    <row r="467" spans="1:1" x14ac:dyDescent="0.25">
      <c r="A467" t="s">
        <v>182</v>
      </c>
    </row>
    <row r="469" spans="1:1" x14ac:dyDescent="0.25">
      <c r="A469" t="s">
        <v>183</v>
      </c>
    </row>
    <row r="471" spans="1:1" x14ac:dyDescent="0.25">
      <c r="A471" t="s">
        <v>184</v>
      </c>
    </row>
    <row r="472" spans="1:1" x14ac:dyDescent="0.25">
      <c r="A472" t="s">
        <v>185</v>
      </c>
    </row>
    <row r="473" spans="1:1" x14ac:dyDescent="0.25">
      <c r="A473" t="s">
        <v>186</v>
      </c>
    </row>
    <row r="475" spans="1:1" x14ac:dyDescent="0.25">
      <c r="A475" t="s">
        <v>187</v>
      </c>
    </row>
    <row r="476" spans="1:1" x14ac:dyDescent="0.25">
      <c r="A476" t="s">
        <v>49</v>
      </c>
    </row>
    <row r="477" spans="1:1" x14ac:dyDescent="0.25">
      <c r="A477" t="s">
        <v>188</v>
      </c>
    </row>
    <row r="478" spans="1:1" x14ac:dyDescent="0.25">
      <c r="A478" t="s">
        <v>189</v>
      </c>
    </row>
    <row r="480" spans="1:1" x14ac:dyDescent="0.25">
      <c r="A480" t="s">
        <v>190</v>
      </c>
    </row>
    <row r="481" spans="1:1" x14ac:dyDescent="0.25">
      <c r="A481" t="s">
        <v>191</v>
      </c>
    </row>
    <row r="482" spans="1:1" x14ac:dyDescent="0.25">
      <c r="A482" t="s">
        <v>192</v>
      </c>
    </row>
    <row r="483" spans="1:1" x14ac:dyDescent="0.25">
      <c r="A483" t="s">
        <v>193</v>
      </c>
    </row>
    <row r="484" spans="1:1" x14ac:dyDescent="0.25">
      <c r="A484" t="s">
        <v>194</v>
      </c>
    </row>
    <row r="485" spans="1:1" x14ac:dyDescent="0.25">
      <c r="A485" t="s">
        <v>195</v>
      </c>
    </row>
    <row r="486" spans="1:1" x14ac:dyDescent="0.25">
      <c r="A486" t="s">
        <v>196</v>
      </c>
    </row>
    <row r="489" spans="1:1" x14ac:dyDescent="0.25">
      <c r="A489" t="s">
        <v>197</v>
      </c>
    </row>
    <row r="490" spans="1:1" x14ac:dyDescent="0.25">
      <c r="A490" t="s">
        <v>198</v>
      </c>
    </row>
    <row r="491" spans="1:1" x14ac:dyDescent="0.25">
      <c r="A491" t="s">
        <v>199</v>
      </c>
    </row>
    <row r="496" spans="1:1" x14ac:dyDescent="0.25">
      <c r="A496" t="s">
        <v>0</v>
      </c>
    </row>
    <row r="497" spans="1:1" x14ac:dyDescent="0.25">
      <c r="A497" t="s">
        <v>373</v>
      </c>
    </row>
    <row r="498" spans="1:1" x14ac:dyDescent="0.25">
      <c r="A498" t="s">
        <v>0</v>
      </c>
    </row>
    <row r="499" spans="1:1" x14ac:dyDescent="0.25">
      <c r="A499" t="s">
        <v>202</v>
      </c>
    </row>
    <row r="500" spans="1:1" x14ac:dyDescent="0.25">
      <c r="A500" t="s">
        <v>169</v>
      </c>
    </row>
    <row r="501" spans="1:1" x14ac:dyDescent="0.25">
      <c r="A501" t="s">
        <v>200</v>
      </c>
    </row>
    <row r="502" spans="1:1" x14ac:dyDescent="0.25">
      <c r="A502" t="s">
        <v>201</v>
      </c>
    </row>
    <row r="503" spans="1:1" x14ac:dyDescent="0.25">
      <c r="A503" t="s">
        <v>169</v>
      </c>
    </row>
    <row r="504" spans="1:1" x14ac:dyDescent="0.25">
      <c r="A504" t="s">
        <v>202</v>
      </c>
    </row>
    <row r="507" spans="1:1" x14ac:dyDescent="0.25">
      <c r="A507" t="s">
        <v>203</v>
      </c>
    </row>
    <row r="508" spans="1:1" x14ac:dyDescent="0.25">
      <c r="A508" t="s">
        <v>204</v>
      </c>
    </row>
    <row r="509" spans="1:1" x14ac:dyDescent="0.25">
      <c r="A509" t="s">
        <v>169</v>
      </c>
    </row>
    <row r="510" spans="1:1" x14ac:dyDescent="0.25">
      <c r="A510" t="s">
        <v>205</v>
      </c>
    </row>
    <row r="511" spans="1:1" x14ac:dyDescent="0.25">
      <c r="A511" t="s">
        <v>206</v>
      </c>
    </row>
    <row r="512" spans="1:1" x14ac:dyDescent="0.25">
      <c r="A512" t="s">
        <v>207</v>
      </c>
    </row>
    <row r="513" spans="1:1" x14ac:dyDescent="0.25">
      <c r="A513" t="s">
        <v>208</v>
      </c>
    </row>
    <row r="514" spans="1:1" x14ac:dyDescent="0.25">
      <c r="A514" t="s">
        <v>209</v>
      </c>
    </row>
    <row r="515" spans="1:1" x14ac:dyDescent="0.25">
      <c r="A515" t="s">
        <v>210</v>
      </c>
    </row>
    <row r="517" spans="1:1" x14ac:dyDescent="0.25">
      <c r="A517" t="s">
        <v>211</v>
      </c>
    </row>
    <row r="518" spans="1:1" x14ac:dyDescent="0.25">
      <c r="A518" t="s">
        <v>212</v>
      </c>
    </row>
    <row r="519" spans="1:1" x14ac:dyDescent="0.25">
      <c r="A519" t="s">
        <v>213</v>
      </c>
    </row>
    <row r="520" spans="1:1" x14ac:dyDescent="0.25">
      <c r="A520" t="s">
        <v>214</v>
      </c>
    </row>
    <row r="521" spans="1:1" x14ac:dyDescent="0.25">
      <c r="A521" t="s">
        <v>215</v>
      </c>
    </row>
    <row r="522" spans="1:1" x14ac:dyDescent="0.25">
      <c r="A522" t="s">
        <v>216</v>
      </c>
    </row>
    <row r="525" spans="1:1" x14ac:dyDescent="0.25">
      <c r="A525" t="s">
        <v>202</v>
      </c>
    </row>
    <row r="526" spans="1:1" x14ac:dyDescent="0.25">
      <c r="A526" t="s">
        <v>169</v>
      </c>
    </row>
    <row r="527" spans="1:1" x14ac:dyDescent="0.25">
      <c r="A527" t="s">
        <v>205</v>
      </c>
    </row>
    <row r="528" spans="1:1" x14ac:dyDescent="0.25">
      <c r="A528" t="s">
        <v>217</v>
      </c>
    </row>
    <row r="529" spans="1:1" x14ac:dyDescent="0.25">
      <c r="A529" t="s">
        <v>218</v>
      </c>
    </row>
    <row r="530" spans="1:1" x14ac:dyDescent="0.25">
      <c r="A530" t="s">
        <v>219</v>
      </c>
    </row>
    <row r="531" spans="1:1" x14ac:dyDescent="0.25">
      <c r="A531" t="s">
        <v>220</v>
      </c>
    </row>
    <row r="532" spans="1:1" x14ac:dyDescent="0.25">
      <c r="A532" t="s">
        <v>374</v>
      </c>
    </row>
    <row r="533" spans="1:1" x14ac:dyDescent="0.25">
      <c r="A533" t="s">
        <v>221</v>
      </c>
    </row>
    <row r="534" spans="1:1" x14ac:dyDescent="0.25">
      <c r="A534" t="s">
        <v>222</v>
      </c>
    </row>
    <row r="535" spans="1:1" x14ac:dyDescent="0.25">
      <c r="A535" t="s">
        <v>223</v>
      </c>
    </row>
    <row r="536" spans="1:1" x14ac:dyDescent="0.25">
      <c r="A536" t="s">
        <v>224</v>
      </c>
    </row>
    <row r="537" spans="1:1" x14ac:dyDescent="0.25">
      <c r="A537" t="s">
        <v>225</v>
      </c>
    </row>
    <row r="538" spans="1:1" x14ac:dyDescent="0.25">
      <c r="A538" t="s">
        <v>226</v>
      </c>
    </row>
    <row r="539" spans="1:1" x14ac:dyDescent="0.25">
      <c r="A539" t="s">
        <v>227</v>
      </c>
    </row>
    <row r="540" spans="1:1" x14ac:dyDescent="0.25">
      <c r="A540" t="s">
        <v>228</v>
      </c>
    </row>
    <row r="541" spans="1:1" x14ac:dyDescent="0.25">
      <c r="A541" t="s">
        <v>229</v>
      </c>
    </row>
    <row r="542" spans="1:1" x14ac:dyDescent="0.25">
      <c r="A542" t="s">
        <v>230</v>
      </c>
    </row>
    <row r="543" spans="1:1" x14ac:dyDescent="0.25">
      <c r="A543" t="s">
        <v>231</v>
      </c>
    </row>
    <row r="544" spans="1:1" x14ac:dyDescent="0.25">
      <c r="A544" t="s">
        <v>232</v>
      </c>
    </row>
    <row r="545" spans="1:1" x14ac:dyDescent="0.25">
      <c r="A545" t="s">
        <v>233</v>
      </c>
    </row>
    <row r="546" spans="1:1" x14ac:dyDescent="0.25">
      <c r="A546" t="s">
        <v>234</v>
      </c>
    </row>
    <row r="547" spans="1:1" x14ac:dyDescent="0.25">
      <c r="A547" t="s">
        <v>235</v>
      </c>
    </row>
    <row r="548" spans="1:1" x14ac:dyDescent="0.25">
      <c r="A548" t="s">
        <v>375</v>
      </c>
    </row>
    <row r="549" spans="1:1" x14ac:dyDescent="0.25">
      <c r="A549" t="s">
        <v>236</v>
      </c>
    </row>
    <row r="550" spans="1:1" x14ac:dyDescent="0.25">
      <c r="A550" t="s">
        <v>376</v>
      </c>
    </row>
    <row r="551" spans="1:1" x14ac:dyDescent="0.25">
      <c r="A551" t="s">
        <v>169</v>
      </c>
    </row>
    <row r="552" spans="1:1" x14ac:dyDescent="0.25">
      <c r="A552" t="s">
        <v>237</v>
      </c>
    </row>
    <row r="555" spans="1:1" x14ac:dyDescent="0.25">
      <c r="A555" t="s">
        <v>202</v>
      </c>
    </row>
    <row r="556" spans="1:1" x14ac:dyDescent="0.25">
      <c r="A556" t="s">
        <v>169</v>
      </c>
    </row>
    <row r="557" spans="1:1" x14ac:dyDescent="0.25">
      <c r="A557" t="s">
        <v>238</v>
      </c>
    </row>
    <row r="558" spans="1:1" x14ac:dyDescent="0.25">
      <c r="A558" t="s">
        <v>201</v>
      </c>
    </row>
    <row r="560" spans="1:1" x14ac:dyDescent="0.25">
      <c r="A560" t="s">
        <v>239</v>
      </c>
    </row>
    <row r="561" spans="1:1" x14ac:dyDescent="0.25">
      <c r="A561" t="s">
        <v>240</v>
      </c>
    </row>
    <row r="562" spans="1:1" x14ac:dyDescent="0.25">
      <c r="A562" t="s">
        <v>241</v>
      </c>
    </row>
    <row r="563" spans="1:1" x14ac:dyDescent="0.25">
      <c r="A563" t="s">
        <v>242</v>
      </c>
    </row>
    <row r="564" spans="1:1" x14ac:dyDescent="0.25">
      <c r="A564" t="s">
        <v>243</v>
      </c>
    </row>
    <row r="565" spans="1:1" x14ac:dyDescent="0.25">
      <c r="A565" t="s">
        <v>244</v>
      </c>
    </row>
    <row r="566" spans="1:1" x14ac:dyDescent="0.25">
      <c r="A566" t="s">
        <v>239</v>
      </c>
    </row>
    <row r="567" spans="1:1" x14ac:dyDescent="0.25">
      <c r="A567" t="s">
        <v>245</v>
      </c>
    </row>
    <row r="568" spans="1:1" x14ac:dyDescent="0.25">
      <c r="A568" t="s">
        <v>246</v>
      </c>
    </row>
    <row r="569" spans="1:1" x14ac:dyDescent="0.25">
      <c r="A569" t="s">
        <v>247</v>
      </c>
    </row>
    <row r="570" spans="1:1" x14ac:dyDescent="0.25">
      <c r="A570" t="s">
        <v>248</v>
      </c>
    </row>
    <row r="571" spans="1:1" x14ac:dyDescent="0.25">
      <c r="A571" t="s">
        <v>249</v>
      </c>
    </row>
    <row r="572" spans="1:1" x14ac:dyDescent="0.25">
      <c r="A572" t="s">
        <v>250</v>
      </c>
    </row>
    <row r="573" spans="1:1" x14ac:dyDescent="0.25">
      <c r="A573" t="s">
        <v>251</v>
      </c>
    </row>
    <row r="574" spans="1:1" x14ac:dyDescent="0.25">
      <c r="A574" t="s">
        <v>377</v>
      </c>
    </row>
    <row r="575" spans="1:1" x14ac:dyDescent="0.25">
      <c r="A575" t="s">
        <v>252</v>
      </c>
    </row>
    <row r="576" spans="1:1" x14ac:dyDescent="0.25">
      <c r="A576" t="s">
        <v>253</v>
      </c>
    </row>
    <row r="577" spans="1:1" x14ac:dyDescent="0.25">
      <c r="A577" t="s">
        <v>254</v>
      </c>
    </row>
    <row r="578" spans="1:1" x14ac:dyDescent="0.25">
      <c r="A578" t="s">
        <v>255</v>
      </c>
    </row>
    <row r="579" spans="1:1" x14ac:dyDescent="0.25">
      <c r="A579" t="s">
        <v>378</v>
      </c>
    </row>
    <row r="582" spans="1:1" x14ac:dyDescent="0.25">
      <c r="A582" t="s">
        <v>202</v>
      </c>
    </row>
    <row r="583" spans="1:1" x14ac:dyDescent="0.25">
      <c r="A583" t="s">
        <v>169</v>
      </c>
    </row>
    <row r="584" spans="1:1" x14ac:dyDescent="0.25">
      <c r="A584" t="s">
        <v>207</v>
      </c>
    </row>
    <row r="585" spans="1:1" x14ac:dyDescent="0.25">
      <c r="A585" t="s">
        <v>256</v>
      </c>
    </row>
    <row r="586" spans="1:1" x14ac:dyDescent="0.25">
      <c r="A586" t="s">
        <v>257</v>
      </c>
    </row>
    <row r="588" spans="1:1" x14ac:dyDescent="0.25">
      <c r="A588" t="s">
        <v>258</v>
      </c>
    </row>
    <row r="589" spans="1:1" x14ac:dyDescent="0.25">
      <c r="A589" t="s">
        <v>379</v>
      </c>
    </row>
    <row r="590" spans="1:1" x14ac:dyDescent="0.25">
      <c r="A590" t="s">
        <v>380</v>
      </c>
    </row>
    <row r="591" spans="1:1" x14ac:dyDescent="0.25">
      <c r="A591" t="s">
        <v>239</v>
      </c>
    </row>
    <row r="592" spans="1:1" x14ac:dyDescent="0.25">
      <c r="A592" t="s">
        <v>259</v>
      </c>
    </row>
    <row r="593" spans="1:1" x14ac:dyDescent="0.25">
      <c r="A593" t="s">
        <v>260</v>
      </c>
    </row>
    <row r="594" spans="1:1" x14ac:dyDescent="0.25">
      <c r="A594" t="s">
        <v>261</v>
      </c>
    </row>
    <row r="595" spans="1:1" x14ac:dyDescent="0.25">
      <c r="A595" t="s">
        <v>262</v>
      </c>
    </row>
    <row r="596" spans="1:1" x14ac:dyDescent="0.25">
      <c r="A596" t="s">
        <v>263</v>
      </c>
    </row>
    <row r="597" spans="1:1" x14ac:dyDescent="0.25">
      <c r="A597" t="s">
        <v>264</v>
      </c>
    </row>
    <row r="598" spans="1:1" x14ac:dyDescent="0.25">
      <c r="A598" t="s">
        <v>265</v>
      </c>
    </row>
    <row r="599" spans="1:1" x14ac:dyDescent="0.25">
      <c r="A599" t="s">
        <v>266</v>
      </c>
    </row>
    <row r="600" spans="1:1" x14ac:dyDescent="0.25">
      <c r="A600" t="s">
        <v>267</v>
      </c>
    </row>
    <row r="601" spans="1:1" x14ac:dyDescent="0.25">
      <c r="A601" t="s">
        <v>268</v>
      </c>
    </row>
    <row r="602" spans="1:1" x14ac:dyDescent="0.25">
      <c r="A602" t="s">
        <v>269</v>
      </c>
    </row>
    <row r="603" spans="1:1" x14ac:dyDescent="0.25">
      <c r="A603" t="s">
        <v>270</v>
      </c>
    </row>
    <row r="604" spans="1:1" x14ac:dyDescent="0.25">
      <c r="A604" t="s">
        <v>271</v>
      </c>
    </row>
    <row r="605" spans="1:1" x14ac:dyDescent="0.25">
      <c r="A605" t="s">
        <v>272</v>
      </c>
    </row>
    <row r="606" spans="1:1" x14ac:dyDescent="0.25">
      <c r="A606" t="s">
        <v>273</v>
      </c>
    </row>
    <row r="607" spans="1:1" x14ac:dyDescent="0.25">
      <c r="A607" t="s">
        <v>274</v>
      </c>
    </row>
    <row r="608" spans="1:1" x14ac:dyDescent="0.25">
      <c r="A608" t="s">
        <v>275</v>
      </c>
    </row>
    <row r="609" spans="1:1" x14ac:dyDescent="0.25">
      <c r="A609" t="s">
        <v>276</v>
      </c>
    </row>
    <row r="610" spans="1:1" x14ac:dyDescent="0.25">
      <c r="A610" t="s">
        <v>277</v>
      </c>
    </row>
    <row r="611" spans="1:1" x14ac:dyDescent="0.25">
      <c r="A611" t="s">
        <v>381</v>
      </c>
    </row>
    <row r="612" spans="1:1" x14ac:dyDescent="0.25">
      <c r="A612" t="s">
        <v>278</v>
      </c>
    </row>
    <row r="613" spans="1:1" x14ac:dyDescent="0.25">
      <c r="A613" t="s">
        <v>279</v>
      </c>
    </row>
    <row r="614" spans="1:1" x14ac:dyDescent="0.25">
      <c r="A614" t="s">
        <v>280</v>
      </c>
    </row>
    <row r="615" spans="1:1" x14ac:dyDescent="0.25">
      <c r="A615" t="s">
        <v>382</v>
      </c>
    </row>
    <row r="616" spans="1:1" x14ac:dyDescent="0.25">
      <c r="A616" t="s">
        <v>383</v>
      </c>
    </row>
    <row r="617" spans="1:1" x14ac:dyDescent="0.25">
      <c r="A617" t="s">
        <v>384</v>
      </c>
    </row>
    <row r="618" spans="1:1" x14ac:dyDescent="0.25">
      <c r="A618" t="s">
        <v>281</v>
      </c>
    </row>
    <row r="619" spans="1:1" x14ac:dyDescent="0.25">
      <c r="A619" t="s">
        <v>282</v>
      </c>
    </row>
    <row r="620" spans="1:1" x14ac:dyDescent="0.25">
      <c r="A620" t="s">
        <v>283</v>
      </c>
    </row>
    <row r="621" spans="1:1" x14ac:dyDescent="0.25">
      <c r="A621" t="s">
        <v>284</v>
      </c>
    </row>
    <row r="622" spans="1:1" x14ac:dyDescent="0.25">
      <c r="A622" t="s">
        <v>271</v>
      </c>
    </row>
    <row r="623" spans="1:1" x14ac:dyDescent="0.25">
      <c r="A623" t="s">
        <v>385</v>
      </c>
    </row>
    <row r="624" spans="1:1" x14ac:dyDescent="0.25">
      <c r="A624" t="s">
        <v>386</v>
      </c>
    </row>
    <row r="625" spans="1:1" x14ac:dyDescent="0.25">
      <c r="A625" t="s">
        <v>268</v>
      </c>
    </row>
    <row r="626" spans="1:1" x14ac:dyDescent="0.25">
      <c r="A626" t="s">
        <v>285</v>
      </c>
    </row>
    <row r="627" spans="1:1" x14ac:dyDescent="0.25">
      <c r="A627" t="s">
        <v>286</v>
      </c>
    </row>
    <row r="628" spans="1:1" x14ac:dyDescent="0.25">
      <c r="A628" t="s">
        <v>287</v>
      </c>
    </row>
    <row r="629" spans="1:1" x14ac:dyDescent="0.25">
      <c r="A629" t="s">
        <v>387</v>
      </c>
    </row>
    <row r="630" spans="1:1" x14ac:dyDescent="0.25">
      <c r="A630" t="s">
        <v>288</v>
      </c>
    </row>
    <row r="631" spans="1:1" x14ac:dyDescent="0.25">
      <c r="A631" t="s">
        <v>289</v>
      </c>
    </row>
    <row r="632" spans="1:1" x14ac:dyDescent="0.25">
      <c r="A632" t="s">
        <v>290</v>
      </c>
    </row>
    <row r="633" spans="1:1" x14ac:dyDescent="0.25">
      <c r="A633" t="s">
        <v>388</v>
      </c>
    </row>
    <row r="634" spans="1:1" x14ac:dyDescent="0.25">
      <c r="A634" t="s">
        <v>389</v>
      </c>
    </row>
    <row r="635" spans="1:1" x14ac:dyDescent="0.25">
      <c r="A635" t="s">
        <v>291</v>
      </c>
    </row>
    <row r="636" spans="1:1" x14ac:dyDescent="0.25">
      <c r="A636" t="s">
        <v>292</v>
      </c>
    </row>
    <row r="637" spans="1:1" x14ac:dyDescent="0.25">
      <c r="A637" t="s">
        <v>390</v>
      </c>
    </row>
    <row r="638" spans="1:1" x14ac:dyDescent="0.25">
      <c r="A638" t="s">
        <v>391</v>
      </c>
    </row>
    <row r="639" spans="1:1" x14ac:dyDescent="0.25">
      <c r="A639" t="s">
        <v>392</v>
      </c>
    </row>
    <row r="640" spans="1:1" x14ac:dyDescent="0.25">
      <c r="A640" t="s">
        <v>275</v>
      </c>
    </row>
    <row r="641" spans="1:1" x14ac:dyDescent="0.25">
      <c r="A641" t="s">
        <v>293</v>
      </c>
    </row>
    <row r="642" spans="1:1" x14ac:dyDescent="0.25">
      <c r="A642" t="s">
        <v>294</v>
      </c>
    </row>
    <row r="643" spans="1:1" x14ac:dyDescent="0.25">
      <c r="A643" t="s">
        <v>295</v>
      </c>
    </row>
    <row r="644" spans="1:1" x14ac:dyDescent="0.25">
      <c r="A644" t="s">
        <v>393</v>
      </c>
    </row>
    <row r="645" spans="1:1" x14ac:dyDescent="0.25">
      <c r="A645" t="s">
        <v>296</v>
      </c>
    </row>
    <row r="646" spans="1:1" x14ac:dyDescent="0.25">
      <c r="A646" t="s">
        <v>297</v>
      </c>
    </row>
    <row r="647" spans="1:1" x14ac:dyDescent="0.25">
      <c r="A647" t="s">
        <v>298</v>
      </c>
    </row>
    <row r="648" spans="1:1" x14ac:dyDescent="0.25">
      <c r="A648" t="s">
        <v>299</v>
      </c>
    </row>
    <row r="649" spans="1:1" x14ac:dyDescent="0.25">
      <c r="A649" t="s">
        <v>300</v>
      </c>
    </row>
    <row r="650" spans="1:1" x14ac:dyDescent="0.25">
      <c r="A650" t="s">
        <v>301</v>
      </c>
    </row>
    <row r="651" spans="1:1" x14ac:dyDescent="0.25">
      <c r="A651" t="s">
        <v>302</v>
      </c>
    </row>
    <row r="652" spans="1:1" x14ac:dyDescent="0.25">
      <c r="A652" t="s">
        <v>303</v>
      </c>
    </row>
    <row r="653" spans="1:1" x14ac:dyDescent="0.25">
      <c r="A653" t="s">
        <v>304</v>
      </c>
    </row>
    <row r="654" spans="1:1" x14ac:dyDescent="0.25">
      <c r="A654" t="s">
        <v>305</v>
      </c>
    </row>
    <row r="655" spans="1:1" x14ac:dyDescent="0.25">
      <c r="A655" t="s">
        <v>394</v>
      </c>
    </row>
    <row r="656" spans="1:1" x14ac:dyDescent="0.25">
      <c r="A656" t="s">
        <v>306</v>
      </c>
    </row>
    <row r="657" spans="1:2" x14ac:dyDescent="0.25">
      <c r="A657" t="s">
        <v>307</v>
      </c>
      <c r="B657">
        <v>1E-3</v>
      </c>
    </row>
    <row r="658" spans="1:2" x14ac:dyDescent="0.25">
      <c r="A658" t="s">
        <v>308</v>
      </c>
    </row>
    <row r="659" spans="1:2" x14ac:dyDescent="0.25">
      <c r="A659" t="s">
        <v>309</v>
      </c>
    </row>
    <row r="660" spans="1:2" x14ac:dyDescent="0.25">
      <c r="A660" t="s">
        <v>310</v>
      </c>
    </row>
    <row r="661" spans="1:2" x14ac:dyDescent="0.25">
      <c r="A661" t="s">
        <v>311</v>
      </c>
    </row>
    <row r="662" spans="1:2" x14ac:dyDescent="0.25">
      <c r="A662" t="s">
        <v>312</v>
      </c>
    </row>
    <row r="663" spans="1:2" x14ac:dyDescent="0.25">
      <c r="A663" t="s">
        <v>313</v>
      </c>
    </row>
    <row r="664" spans="1:2" x14ac:dyDescent="0.25">
      <c r="A664" t="s">
        <v>395</v>
      </c>
    </row>
    <row r="665" spans="1:2" x14ac:dyDescent="0.25">
      <c r="A665" t="s">
        <v>314</v>
      </c>
    </row>
    <row r="666" spans="1:2" x14ac:dyDescent="0.25">
      <c r="A666" t="s">
        <v>315</v>
      </c>
    </row>
    <row r="667" spans="1:2" x14ac:dyDescent="0.25">
      <c r="A667" t="s">
        <v>316</v>
      </c>
    </row>
    <row r="668" spans="1:2" x14ac:dyDescent="0.25">
      <c r="A668" t="s">
        <v>396</v>
      </c>
    </row>
    <row r="669" spans="1:2" x14ac:dyDescent="0.25">
      <c r="A669" t="s">
        <v>317</v>
      </c>
    </row>
    <row r="670" spans="1:2" x14ac:dyDescent="0.25">
      <c r="A670" t="s">
        <v>318</v>
      </c>
    </row>
    <row r="671" spans="1:2" x14ac:dyDescent="0.25">
      <c r="A671" t="s">
        <v>319</v>
      </c>
    </row>
    <row r="672" spans="1:2" x14ac:dyDescent="0.25">
      <c r="A672" t="s">
        <v>320</v>
      </c>
    </row>
    <row r="673" spans="1:1" x14ac:dyDescent="0.25">
      <c r="A673" t="s">
        <v>321</v>
      </c>
    </row>
    <row r="674" spans="1:1" x14ac:dyDescent="0.25">
      <c r="A674" t="s">
        <v>322</v>
      </c>
    </row>
    <row r="675" spans="1:1" x14ac:dyDescent="0.25">
      <c r="A675" t="s">
        <v>397</v>
      </c>
    </row>
    <row r="677" spans="1:1" x14ac:dyDescent="0.25">
      <c r="A677" t="s">
        <v>202</v>
      </c>
    </row>
    <row r="678" spans="1:1" x14ac:dyDescent="0.25">
      <c r="A678" t="s">
        <v>169</v>
      </c>
    </row>
    <row r="679" spans="1:1" x14ac:dyDescent="0.25">
      <c r="A679" t="s">
        <v>209</v>
      </c>
    </row>
    <row r="680" spans="1:1" x14ac:dyDescent="0.25">
      <c r="A680" t="s">
        <v>323</v>
      </c>
    </row>
    <row r="681" spans="1:1" x14ac:dyDescent="0.25">
      <c r="A681" t="s">
        <v>169</v>
      </c>
    </row>
    <row r="682" spans="1:1" x14ac:dyDescent="0.25">
      <c r="A682" t="s">
        <v>251</v>
      </c>
    </row>
    <row r="683" spans="1:1" x14ac:dyDescent="0.25">
      <c r="A683" t="s">
        <v>324</v>
      </c>
    </row>
    <row r="684" spans="1:1" x14ac:dyDescent="0.25">
      <c r="A684" t="s">
        <v>325</v>
      </c>
    </row>
    <row r="685" spans="1:1" x14ac:dyDescent="0.25">
      <c r="A685" t="s">
        <v>326</v>
      </c>
    </row>
    <row r="686" spans="1:1" x14ac:dyDescent="0.25">
      <c r="A686" t="s">
        <v>251</v>
      </c>
    </row>
    <row r="687" spans="1:1" x14ac:dyDescent="0.25">
      <c r="A687" t="s">
        <v>327</v>
      </c>
    </row>
    <row r="688" spans="1:1" x14ac:dyDescent="0.25">
      <c r="A688" t="s">
        <v>398</v>
      </c>
    </row>
    <row r="689" spans="1:1" x14ac:dyDescent="0.25">
      <c r="A689" t="s">
        <v>399</v>
      </c>
    </row>
    <row r="690" spans="1:1" x14ac:dyDescent="0.25">
      <c r="A690" t="s">
        <v>400</v>
      </c>
    </row>
    <row r="692" spans="1:1" x14ac:dyDescent="0.25">
      <c r="A692" t="s">
        <v>202</v>
      </c>
    </row>
    <row r="693" spans="1:1" x14ac:dyDescent="0.25">
      <c r="A693" t="s">
        <v>169</v>
      </c>
    </row>
    <row r="694" spans="1:1" x14ac:dyDescent="0.25">
      <c r="A694" t="s">
        <v>210</v>
      </c>
    </row>
    <row r="695" spans="1:1" x14ac:dyDescent="0.25">
      <c r="A695" t="s">
        <v>328</v>
      </c>
    </row>
    <row r="696" spans="1:1" x14ac:dyDescent="0.25">
      <c r="A696" t="s">
        <v>169</v>
      </c>
    </row>
    <row r="697" spans="1:1" x14ac:dyDescent="0.25">
      <c r="A697" t="s">
        <v>283</v>
      </c>
    </row>
    <row r="698" spans="1:1" x14ac:dyDescent="0.25">
      <c r="A698" t="s">
        <v>329</v>
      </c>
    </row>
    <row r="699" spans="1:1" x14ac:dyDescent="0.25">
      <c r="A699" t="s">
        <v>330</v>
      </c>
    </row>
    <row r="700" spans="1:1" x14ac:dyDescent="0.25">
      <c r="A700" t="s">
        <v>331</v>
      </c>
    </row>
    <row r="701" spans="1:1" x14ac:dyDescent="0.25">
      <c r="A701" t="s">
        <v>332</v>
      </c>
    </row>
    <row r="702" spans="1:1" x14ac:dyDescent="0.25">
      <c r="A702" t="s">
        <v>333</v>
      </c>
    </row>
    <row r="703" spans="1:1" x14ac:dyDescent="0.25">
      <c r="A703" t="s">
        <v>334</v>
      </c>
    </row>
    <row r="704" spans="1:1" x14ac:dyDescent="0.25">
      <c r="A704" t="s">
        <v>401</v>
      </c>
    </row>
    <row r="705" spans="1:1" x14ac:dyDescent="0.25">
      <c r="A705" t="s">
        <v>283</v>
      </c>
    </row>
    <row r="706" spans="1:1" x14ac:dyDescent="0.25">
      <c r="A706" t="s">
        <v>335</v>
      </c>
    </row>
    <row r="707" spans="1:1" x14ac:dyDescent="0.25">
      <c r="A707" t="s">
        <v>336</v>
      </c>
    </row>
    <row r="708" spans="1:1" x14ac:dyDescent="0.25">
      <c r="A708" t="s">
        <v>248</v>
      </c>
    </row>
    <row r="709" spans="1:1" x14ac:dyDescent="0.25">
      <c r="A709" t="s">
        <v>402</v>
      </c>
    </row>
    <row r="710" spans="1:1" x14ac:dyDescent="0.25">
      <c r="A710" t="s">
        <v>248</v>
      </c>
    </row>
    <row r="711" spans="1:1" x14ac:dyDescent="0.25">
      <c r="A711" t="s">
        <v>403</v>
      </c>
    </row>
    <row r="712" spans="1:1" x14ac:dyDescent="0.25">
      <c r="A712" t="s">
        <v>404</v>
      </c>
    </row>
    <row r="713" spans="1:1" x14ac:dyDescent="0.25">
      <c r="A713" t="s">
        <v>202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891FB-8E89-41C5-B3CE-9AF799B26354}">
  <sheetPr codeName="Tabelle3">
    <tabColor theme="6" tint="0.79998168889431442"/>
  </sheetPr>
  <dimension ref="A1:J713"/>
  <sheetViews>
    <sheetView workbookViewId="0">
      <selection activeCell="E12" sqref="E12"/>
    </sheetView>
  </sheetViews>
  <sheetFormatPr baseColWidth="10" defaultRowHeight="14.25" x14ac:dyDescent="0.25"/>
  <cols>
    <col min="3" max="3" width="19.28515625" bestFit="1" customWidth="1"/>
  </cols>
  <sheetData>
    <row r="1" spans="1:1" x14ac:dyDescent="0.25">
      <c r="A1" t="s">
        <v>0</v>
      </c>
    </row>
    <row r="2" spans="1:1" x14ac:dyDescent="0.25">
      <c r="A2" t="s">
        <v>1</v>
      </c>
    </row>
    <row r="3" spans="1:1" x14ac:dyDescent="0.25">
      <c r="A3" t="s">
        <v>0</v>
      </c>
    </row>
    <row r="4" spans="1:1" x14ac:dyDescent="0.25">
      <c r="A4" t="s">
        <v>363</v>
      </c>
    </row>
    <row r="5" spans="1:1" x14ac:dyDescent="0.25">
      <c r="A5" t="s">
        <v>364</v>
      </c>
    </row>
    <row r="6" spans="1:1" x14ac:dyDescent="0.25">
      <c r="A6" t="s">
        <v>365</v>
      </c>
    </row>
    <row r="7" spans="1:1" x14ac:dyDescent="0.25">
      <c r="A7" t="s">
        <v>366</v>
      </c>
    </row>
    <row r="8" spans="1:1" x14ac:dyDescent="0.25">
      <c r="A8" t="s">
        <v>367</v>
      </c>
    </row>
    <row r="9" spans="1:1" x14ac:dyDescent="0.25">
      <c r="A9" t="s">
        <v>2</v>
      </c>
    </row>
    <row r="10" spans="1:1" x14ac:dyDescent="0.25">
      <c r="A10" t="s">
        <v>3</v>
      </c>
    </row>
    <row r="11" spans="1:1" x14ac:dyDescent="0.25">
      <c r="A11" t="s">
        <v>4</v>
      </c>
    </row>
    <row r="12" spans="1:1" x14ac:dyDescent="0.25">
      <c r="A12" t="s">
        <v>368</v>
      </c>
    </row>
    <row r="13" spans="1:1" x14ac:dyDescent="0.25">
      <c r="A13" t="s">
        <v>369</v>
      </c>
    </row>
    <row r="14" spans="1:1" x14ac:dyDescent="0.25">
      <c r="A14" t="s">
        <v>5</v>
      </c>
    </row>
    <row r="15" spans="1:1" x14ac:dyDescent="0.25">
      <c r="A15" t="s">
        <v>6</v>
      </c>
    </row>
    <row r="16" spans="1:1" x14ac:dyDescent="0.25">
      <c r="A16" t="s">
        <v>7</v>
      </c>
    </row>
    <row r="17" spans="1:1" x14ac:dyDescent="0.25">
      <c r="A17" t="s">
        <v>8</v>
      </c>
    </row>
    <row r="18" spans="1:1" x14ac:dyDescent="0.25">
      <c r="A18" t="s">
        <v>9</v>
      </c>
    </row>
    <row r="19" spans="1:1" x14ac:dyDescent="0.25">
      <c r="A19" t="s">
        <v>10</v>
      </c>
    </row>
    <row r="20" spans="1:1" x14ac:dyDescent="0.25">
      <c r="A20" t="s">
        <v>11</v>
      </c>
    </row>
    <row r="21" spans="1:1" x14ac:dyDescent="0.25">
      <c r="A21" t="s">
        <v>12</v>
      </c>
    </row>
    <row r="22" spans="1:1" x14ac:dyDescent="0.25">
      <c r="A22" t="s">
        <v>13</v>
      </c>
    </row>
    <row r="23" spans="1:1" x14ac:dyDescent="0.25">
      <c r="A23" t="s">
        <v>370</v>
      </c>
    </row>
    <row r="24" spans="1:1" x14ac:dyDescent="0.25">
      <c r="A24" t="s">
        <v>14</v>
      </c>
    </row>
    <row r="25" spans="1:1" x14ac:dyDescent="0.25">
      <c r="A25" t="s">
        <v>15</v>
      </c>
    </row>
    <row r="26" spans="1:1" x14ac:dyDescent="0.25">
      <c r="A26" t="s">
        <v>0</v>
      </c>
    </row>
    <row r="29" spans="1:1" x14ac:dyDescent="0.25">
      <c r="A29" t="s">
        <v>16</v>
      </c>
    </row>
    <row r="30" spans="1:1" x14ac:dyDescent="0.25">
      <c r="A30" t="s">
        <v>17</v>
      </c>
    </row>
    <row r="31" spans="1:1" x14ac:dyDescent="0.25">
      <c r="A31" t="s">
        <v>18</v>
      </c>
    </row>
    <row r="32" spans="1:1" x14ac:dyDescent="0.25">
      <c r="A32" t="s">
        <v>16</v>
      </c>
    </row>
    <row r="34" spans="1:10" x14ac:dyDescent="0.25">
      <c r="A34" t="s">
        <v>19</v>
      </c>
      <c r="B34" t="s">
        <v>20</v>
      </c>
      <c r="C34" t="s">
        <v>21</v>
      </c>
      <c r="D34" t="s">
        <v>22</v>
      </c>
      <c r="E34" t="s">
        <v>23</v>
      </c>
      <c r="F34" t="s">
        <v>24</v>
      </c>
      <c r="G34" t="s">
        <v>25</v>
      </c>
      <c r="H34" t="s">
        <v>26</v>
      </c>
      <c r="I34" t="s">
        <v>27</v>
      </c>
      <c r="J34" t="s">
        <v>28</v>
      </c>
    </row>
    <row r="35" spans="1:10" x14ac:dyDescent="0.25">
      <c r="A35" t="s">
        <v>29</v>
      </c>
      <c r="B35">
        <v>696190</v>
      </c>
      <c r="C35" t="s">
        <v>30</v>
      </c>
      <c r="D35" t="s">
        <v>31</v>
      </c>
      <c r="E35">
        <v>0.1</v>
      </c>
      <c r="F35">
        <v>79.900000000000006</v>
      </c>
      <c r="G35">
        <v>70.599999999999994</v>
      </c>
      <c r="H35">
        <v>0</v>
      </c>
      <c r="I35">
        <v>80.400000000000006</v>
      </c>
      <c r="J35">
        <v>89.2</v>
      </c>
    </row>
    <row r="36" spans="1:10" x14ac:dyDescent="0.25">
      <c r="A36" t="s">
        <v>29</v>
      </c>
      <c r="B36">
        <v>696190</v>
      </c>
      <c r="C36" t="s">
        <v>32</v>
      </c>
      <c r="D36" t="s">
        <v>33</v>
      </c>
      <c r="E36">
        <v>0</v>
      </c>
      <c r="F36">
        <v>81.8</v>
      </c>
      <c r="G36">
        <v>72.900000000000006</v>
      </c>
      <c r="H36">
        <v>0</v>
      </c>
      <c r="I36">
        <v>82.4</v>
      </c>
      <c r="J36">
        <v>91.1</v>
      </c>
    </row>
    <row r="37" spans="1:10" x14ac:dyDescent="0.25">
      <c r="A37" t="s">
        <v>29</v>
      </c>
      <c r="B37">
        <v>696190</v>
      </c>
      <c r="C37" t="s">
        <v>34</v>
      </c>
      <c r="D37" t="s">
        <v>35</v>
      </c>
      <c r="E37">
        <v>0.1</v>
      </c>
      <c r="F37">
        <v>82.3</v>
      </c>
      <c r="G37">
        <v>72.5</v>
      </c>
      <c r="H37">
        <v>0</v>
      </c>
      <c r="I37">
        <v>82.7</v>
      </c>
      <c r="J37">
        <v>91.5</v>
      </c>
    </row>
    <row r="38" spans="1:10" x14ac:dyDescent="0.25">
      <c r="A38" t="s">
        <v>29</v>
      </c>
      <c r="B38">
        <v>696190</v>
      </c>
      <c r="C38" t="s">
        <v>36</v>
      </c>
      <c r="D38" t="s">
        <v>33</v>
      </c>
      <c r="E38">
        <v>0.1</v>
      </c>
      <c r="F38">
        <v>84.8</v>
      </c>
      <c r="G38">
        <v>74.8</v>
      </c>
      <c r="H38">
        <v>0</v>
      </c>
      <c r="I38">
        <v>85.2</v>
      </c>
      <c r="J38">
        <v>94</v>
      </c>
    </row>
    <row r="39" spans="1:10" x14ac:dyDescent="0.25">
      <c r="A39" t="s">
        <v>37</v>
      </c>
      <c r="B39">
        <v>696367</v>
      </c>
      <c r="C39" t="s">
        <v>30</v>
      </c>
      <c r="D39" t="s">
        <v>31</v>
      </c>
      <c r="E39">
        <v>0.1</v>
      </c>
      <c r="F39">
        <v>74.8</v>
      </c>
      <c r="G39">
        <v>65.5</v>
      </c>
      <c r="H39">
        <v>0</v>
      </c>
      <c r="I39">
        <v>75.3</v>
      </c>
      <c r="J39">
        <v>83.9</v>
      </c>
    </row>
    <row r="40" spans="1:10" x14ac:dyDescent="0.25">
      <c r="A40" t="s">
        <v>37</v>
      </c>
      <c r="B40">
        <v>696367</v>
      </c>
      <c r="C40" t="s">
        <v>32</v>
      </c>
      <c r="D40" t="s">
        <v>33</v>
      </c>
      <c r="E40">
        <v>0</v>
      </c>
      <c r="F40">
        <v>76.8</v>
      </c>
      <c r="G40">
        <v>68.099999999999994</v>
      </c>
      <c r="H40">
        <v>0</v>
      </c>
      <c r="I40">
        <v>77.400000000000006</v>
      </c>
      <c r="J40">
        <v>86</v>
      </c>
    </row>
    <row r="41" spans="1:10" x14ac:dyDescent="0.25">
      <c r="A41" t="s">
        <v>37</v>
      </c>
      <c r="B41">
        <v>696367</v>
      </c>
      <c r="C41" t="s">
        <v>34</v>
      </c>
      <c r="D41" t="s">
        <v>35</v>
      </c>
      <c r="E41">
        <v>0.1</v>
      </c>
      <c r="F41">
        <v>73.2</v>
      </c>
      <c r="G41">
        <v>62.3</v>
      </c>
      <c r="H41">
        <v>0</v>
      </c>
      <c r="I41">
        <v>73.5</v>
      </c>
      <c r="J41">
        <v>81.900000000000006</v>
      </c>
    </row>
    <row r="42" spans="1:10" x14ac:dyDescent="0.25">
      <c r="A42" t="s">
        <v>37</v>
      </c>
      <c r="B42">
        <v>696367</v>
      </c>
      <c r="C42" t="s">
        <v>36</v>
      </c>
      <c r="D42" t="s">
        <v>33</v>
      </c>
      <c r="E42">
        <v>0.1</v>
      </c>
      <c r="F42">
        <v>75.7</v>
      </c>
      <c r="G42">
        <v>64.7</v>
      </c>
      <c r="H42">
        <v>0</v>
      </c>
      <c r="I42">
        <v>76</v>
      </c>
      <c r="J42">
        <v>84.4</v>
      </c>
    </row>
    <row r="43" spans="1:10" x14ac:dyDescent="0.25">
      <c r="A43" t="s">
        <v>38</v>
      </c>
      <c r="B43">
        <v>726653</v>
      </c>
      <c r="C43" t="s">
        <v>30</v>
      </c>
      <c r="D43" t="s">
        <v>31</v>
      </c>
      <c r="E43">
        <v>0.1</v>
      </c>
      <c r="F43">
        <v>68</v>
      </c>
      <c r="G43">
        <v>56.6</v>
      </c>
      <c r="H43">
        <v>0</v>
      </c>
      <c r="I43">
        <v>68.3</v>
      </c>
      <c r="J43">
        <v>77.099999999999994</v>
      </c>
    </row>
    <row r="44" spans="1:10" x14ac:dyDescent="0.25">
      <c r="A44" t="s">
        <v>38</v>
      </c>
      <c r="B44">
        <v>726653</v>
      </c>
      <c r="C44" t="s">
        <v>32</v>
      </c>
      <c r="D44" t="s">
        <v>33</v>
      </c>
      <c r="E44">
        <v>0</v>
      </c>
      <c r="F44">
        <v>69.900000000000006</v>
      </c>
      <c r="G44">
        <v>59.4</v>
      </c>
      <c r="H44">
        <v>0</v>
      </c>
      <c r="I44">
        <v>70.3</v>
      </c>
      <c r="J44">
        <v>79.099999999999994</v>
      </c>
    </row>
    <row r="45" spans="1:10" x14ac:dyDescent="0.25">
      <c r="A45" t="s">
        <v>38</v>
      </c>
      <c r="B45">
        <v>726653</v>
      </c>
      <c r="C45" t="s">
        <v>34</v>
      </c>
      <c r="D45" t="s">
        <v>35</v>
      </c>
      <c r="E45">
        <v>0.1</v>
      </c>
      <c r="F45">
        <v>68.2</v>
      </c>
      <c r="G45">
        <v>55.8</v>
      </c>
      <c r="H45">
        <v>0</v>
      </c>
      <c r="I45">
        <v>68.5</v>
      </c>
      <c r="J45">
        <v>77.3</v>
      </c>
    </row>
    <row r="46" spans="1:10" x14ac:dyDescent="0.25">
      <c r="A46" t="s">
        <v>38</v>
      </c>
      <c r="B46">
        <v>726653</v>
      </c>
      <c r="C46" t="s">
        <v>36</v>
      </c>
      <c r="D46" t="s">
        <v>33</v>
      </c>
      <c r="E46">
        <v>0.1</v>
      </c>
      <c r="F46">
        <v>70.7</v>
      </c>
      <c r="G46">
        <v>58.7</v>
      </c>
      <c r="H46">
        <v>0</v>
      </c>
      <c r="I46">
        <v>71</v>
      </c>
      <c r="J46">
        <v>79.900000000000006</v>
      </c>
    </row>
    <row r="47" spans="1:10" x14ac:dyDescent="0.25">
      <c r="A47" t="s">
        <v>39</v>
      </c>
      <c r="B47">
        <v>715459</v>
      </c>
      <c r="C47" t="s">
        <v>30</v>
      </c>
      <c r="D47" t="s">
        <v>31</v>
      </c>
      <c r="E47">
        <v>0.1</v>
      </c>
      <c r="F47">
        <v>61.8</v>
      </c>
      <c r="G47">
        <v>58</v>
      </c>
      <c r="H47">
        <v>0</v>
      </c>
      <c r="I47">
        <v>63.3</v>
      </c>
      <c r="J47">
        <v>69.5</v>
      </c>
    </row>
    <row r="48" spans="1:10" x14ac:dyDescent="0.25">
      <c r="A48" t="s">
        <v>39</v>
      </c>
      <c r="B48">
        <v>715459</v>
      </c>
      <c r="C48" t="s">
        <v>32</v>
      </c>
      <c r="D48" t="s">
        <v>33</v>
      </c>
      <c r="E48">
        <v>0</v>
      </c>
      <c r="F48">
        <v>64.900000000000006</v>
      </c>
      <c r="G48">
        <v>58.9</v>
      </c>
      <c r="H48">
        <v>0</v>
      </c>
      <c r="I48">
        <v>65.900000000000006</v>
      </c>
      <c r="J48">
        <v>72.8</v>
      </c>
    </row>
    <row r="49" spans="1:10" x14ac:dyDescent="0.25">
      <c r="A49" t="s">
        <v>39</v>
      </c>
      <c r="B49">
        <v>715459</v>
      </c>
      <c r="C49" t="s">
        <v>34</v>
      </c>
      <c r="D49" t="s">
        <v>35</v>
      </c>
      <c r="E49">
        <v>0.1</v>
      </c>
      <c r="F49">
        <v>62.3</v>
      </c>
      <c r="G49">
        <v>57.9</v>
      </c>
      <c r="H49">
        <v>0</v>
      </c>
      <c r="I49">
        <v>63.7</v>
      </c>
      <c r="J49">
        <v>69.7</v>
      </c>
    </row>
    <row r="50" spans="1:10" x14ac:dyDescent="0.25">
      <c r="A50" t="s">
        <v>39</v>
      </c>
      <c r="B50">
        <v>715459</v>
      </c>
      <c r="C50" t="s">
        <v>36</v>
      </c>
      <c r="D50" t="s">
        <v>33</v>
      </c>
      <c r="E50">
        <v>0.1</v>
      </c>
      <c r="F50">
        <v>65.3</v>
      </c>
      <c r="G50">
        <v>58.7</v>
      </c>
      <c r="H50">
        <v>0</v>
      </c>
      <c r="I50">
        <v>66.2</v>
      </c>
      <c r="J50">
        <v>72.900000000000006</v>
      </c>
    </row>
    <row r="51" spans="1:10" x14ac:dyDescent="0.25">
      <c r="A51" t="s">
        <v>40</v>
      </c>
      <c r="B51">
        <v>715459</v>
      </c>
      <c r="C51" t="s">
        <v>30</v>
      </c>
      <c r="D51" t="s">
        <v>31</v>
      </c>
      <c r="E51">
        <v>0.1</v>
      </c>
      <c r="F51">
        <v>61.5</v>
      </c>
      <c r="G51">
        <v>58</v>
      </c>
      <c r="H51">
        <v>0</v>
      </c>
      <c r="I51">
        <v>63.1</v>
      </c>
      <c r="J51">
        <v>69.099999999999994</v>
      </c>
    </row>
    <row r="52" spans="1:10" x14ac:dyDescent="0.25">
      <c r="A52" t="s">
        <v>40</v>
      </c>
      <c r="B52">
        <v>715459</v>
      </c>
      <c r="C52" t="s">
        <v>32</v>
      </c>
      <c r="D52" t="s">
        <v>33</v>
      </c>
      <c r="E52">
        <v>0</v>
      </c>
      <c r="F52">
        <v>64.400000000000006</v>
      </c>
      <c r="G52">
        <v>58.9</v>
      </c>
      <c r="H52">
        <v>0</v>
      </c>
      <c r="I52">
        <v>65.5</v>
      </c>
      <c r="J52">
        <v>72.3</v>
      </c>
    </row>
    <row r="53" spans="1:10" x14ac:dyDescent="0.25">
      <c r="A53" t="s">
        <v>40</v>
      </c>
      <c r="B53">
        <v>715459</v>
      </c>
      <c r="C53" t="s">
        <v>34</v>
      </c>
      <c r="D53" t="s">
        <v>35</v>
      </c>
      <c r="E53">
        <v>0.1</v>
      </c>
      <c r="F53">
        <v>61.8</v>
      </c>
      <c r="G53">
        <v>57.9</v>
      </c>
      <c r="H53">
        <v>0</v>
      </c>
      <c r="I53">
        <v>63.3</v>
      </c>
      <c r="J53">
        <v>69</v>
      </c>
    </row>
    <row r="54" spans="1:10" x14ac:dyDescent="0.25">
      <c r="A54" t="s">
        <v>40</v>
      </c>
      <c r="B54">
        <v>715459</v>
      </c>
      <c r="C54" t="s">
        <v>36</v>
      </c>
      <c r="D54" t="s">
        <v>33</v>
      </c>
      <c r="E54">
        <v>0.1</v>
      </c>
      <c r="F54">
        <v>64.599999999999994</v>
      </c>
      <c r="G54">
        <v>58.7</v>
      </c>
      <c r="H54">
        <v>0</v>
      </c>
      <c r="I54">
        <v>65.599999999999994</v>
      </c>
      <c r="J54">
        <v>71.900000000000006</v>
      </c>
    </row>
    <row r="55" spans="1:10" x14ac:dyDescent="0.25">
      <c r="A55" t="s">
        <v>41</v>
      </c>
      <c r="B55">
        <v>715459</v>
      </c>
      <c r="C55" t="s">
        <v>30</v>
      </c>
      <c r="D55" t="s">
        <v>31</v>
      </c>
      <c r="E55">
        <v>0.1</v>
      </c>
      <c r="F55">
        <v>61.8</v>
      </c>
      <c r="G55">
        <v>58.1</v>
      </c>
      <c r="H55">
        <v>0</v>
      </c>
      <c r="I55">
        <v>63.3</v>
      </c>
      <c r="J55">
        <v>69.5</v>
      </c>
    </row>
    <row r="56" spans="1:10" x14ac:dyDescent="0.25">
      <c r="A56" t="s">
        <v>41</v>
      </c>
      <c r="B56">
        <v>715459</v>
      </c>
      <c r="C56" t="s">
        <v>32</v>
      </c>
      <c r="D56" t="s">
        <v>33</v>
      </c>
      <c r="E56">
        <v>0</v>
      </c>
      <c r="F56">
        <v>64.8</v>
      </c>
      <c r="G56">
        <v>59</v>
      </c>
      <c r="H56">
        <v>0</v>
      </c>
      <c r="I56">
        <v>65.8</v>
      </c>
      <c r="J56">
        <v>72.7</v>
      </c>
    </row>
    <row r="57" spans="1:10" x14ac:dyDescent="0.25">
      <c r="A57" t="s">
        <v>41</v>
      </c>
      <c r="B57">
        <v>715459</v>
      </c>
      <c r="C57" t="s">
        <v>34</v>
      </c>
      <c r="D57" t="s">
        <v>35</v>
      </c>
      <c r="E57">
        <v>0.1</v>
      </c>
      <c r="F57">
        <v>61.9</v>
      </c>
      <c r="G57">
        <v>58</v>
      </c>
      <c r="H57">
        <v>0</v>
      </c>
      <c r="I57">
        <v>63.4</v>
      </c>
      <c r="J57">
        <v>69</v>
      </c>
    </row>
    <row r="58" spans="1:10" x14ac:dyDescent="0.25">
      <c r="A58" t="s">
        <v>41</v>
      </c>
      <c r="B58">
        <v>715459</v>
      </c>
      <c r="C58" t="s">
        <v>36</v>
      </c>
      <c r="D58" t="s">
        <v>33</v>
      </c>
      <c r="E58">
        <v>0.1</v>
      </c>
      <c r="F58">
        <v>64.7</v>
      </c>
      <c r="G58">
        <v>58.8</v>
      </c>
      <c r="H58">
        <v>0</v>
      </c>
      <c r="I58">
        <v>65.7</v>
      </c>
      <c r="J58">
        <v>72.099999999999994</v>
      </c>
    </row>
    <row r="59" spans="1:10" x14ac:dyDescent="0.25">
      <c r="A59" t="s">
        <v>42</v>
      </c>
      <c r="B59">
        <v>702381</v>
      </c>
      <c r="C59" t="s">
        <v>30</v>
      </c>
      <c r="D59" t="s">
        <v>31</v>
      </c>
      <c r="E59">
        <v>0.1</v>
      </c>
      <c r="F59">
        <v>74.599999999999994</v>
      </c>
      <c r="G59">
        <v>69.099999999999994</v>
      </c>
      <c r="H59">
        <v>0</v>
      </c>
      <c r="I59">
        <v>75.599999999999994</v>
      </c>
      <c r="J59">
        <v>83.2</v>
      </c>
    </row>
    <row r="60" spans="1:10" x14ac:dyDescent="0.25">
      <c r="A60" t="s">
        <v>42</v>
      </c>
      <c r="B60">
        <v>702381</v>
      </c>
      <c r="C60" t="s">
        <v>32</v>
      </c>
      <c r="D60" t="s">
        <v>33</v>
      </c>
      <c r="E60">
        <v>0</v>
      </c>
      <c r="F60">
        <v>76.099999999999994</v>
      </c>
      <c r="G60">
        <v>70.2</v>
      </c>
      <c r="H60">
        <v>0</v>
      </c>
      <c r="I60">
        <v>77.099999999999994</v>
      </c>
      <c r="J60">
        <v>84.8</v>
      </c>
    </row>
    <row r="61" spans="1:10" x14ac:dyDescent="0.25">
      <c r="A61" t="s">
        <v>42</v>
      </c>
      <c r="B61">
        <v>702381</v>
      </c>
      <c r="C61" t="s">
        <v>34</v>
      </c>
      <c r="D61" t="s">
        <v>35</v>
      </c>
      <c r="E61">
        <v>0.1</v>
      </c>
      <c r="F61">
        <v>81.900000000000006</v>
      </c>
      <c r="G61">
        <v>66.3</v>
      </c>
      <c r="H61">
        <v>0</v>
      </c>
      <c r="I61">
        <v>82</v>
      </c>
      <c r="J61">
        <v>90.7</v>
      </c>
    </row>
    <row r="62" spans="1:10" x14ac:dyDescent="0.25">
      <c r="A62" t="s">
        <v>42</v>
      </c>
      <c r="B62">
        <v>702381</v>
      </c>
      <c r="C62" t="s">
        <v>36</v>
      </c>
      <c r="D62" t="s">
        <v>33</v>
      </c>
      <c r="E62">
        <v>0.1</v>
      </c>
      <c r="F62">
        <v>85.3</v>
      </c>
      <c r="G62">
        <v>69.099999999999994</v>
      </c>
      <c r="H62">
        <v>0</v>
      </c>
      <c r="I62">
        <v>85.4</v>
      </c>
      <c r="J62">
        <v>94.3</v>
      </c>
    </row>
    <row r="63" spans="1:10" x14ac:dyDescent="0.25">
      <c r="A63" t="s">
        <v>43</v>
      </c>
      <c r="B63">
        <v>702381</v>
      </c>
      <c r="C63" t="s">
        <v>30</v>
      </c>
      <c r="D63" t="s">
        <v>31</v>
      </c>
      <c r="E63">
        <v>0.1</v>
      </c>
      <c r="F63">
        <v>75.2</v>
      </c>
      <c r="G63">
        <v>70.599999999999994</v>
      </c>
      <c r="H63">
        <v>0</v>
      </c>
      <c r="I63">
        <v>76.5</v>
      </c>
      <c r="J63">
        <v>84</v>
      </c>
    </row>
    <row r="64" spans="1:10" x14ac:dyDescent="0.25">
      <c r="A64" t="s">
        <v>43</v>
      </c>
      <c r="B64">
        <v>702381</v>
      </c>
      <c r="C64" t="s">
        <v>32</v>
      </c>
      <c r="D64" t="s">
        <v>33</v>
      </c>
      <c r="E64">
        <v>0</v>
      </c>
      <c r="F64">
        <v>76.900000000000006</v>
      </c>
      <c r="G64">
        <v>71.2</v>
      </c>
      <c r="H64">
        <v>0</v>
      </c>
      <c r="I64">
        <v>77.900000000000006</v>
      </c>
      <c r="J64">
        <v>85.6</v>
      </c>
    </row>
    <row r="65" spans="1:10" x14ac:dyDescent="0.25">
      <c r="A65" t="s">
        <v>43</v>
      </c>
      <c r="B65">
        <v>702381</v>
      </c>
      <c r="C65" t="s">
        <v>34</v>
      </c>
      <c r="D65" t="s">
        <v>35</v>
      </c>
      <c r="E65">
        <v>0.1</v>
      </c>
      <c r="F65">
        <v>83.5</v>
      </c>
      <c r="G65">
        <v>67.599999999999994</v>
      </c>
      <c r="H65">
        <v>0</v>
      </c>
      <c r="I65">
        <v>83.6</v>
      </c>
      <c r="J65">
        <v>92.3</v>
      </c>
    </row>
    <row r="66" spans="1:10" x14ac:dyDescent="0.25">
      <c r="A66" t="s">
        <v>43</v>
      </c>
      <c r="B66">
        <v>702381</v>
      </c>
      <c r="C66" t="s">
        <v>36</v>
      </c>
      <c r="D66" t="s">
        <v>33</v>
      </c>
      <c r="E66">
        <v>0.1</v>
      </c>
      <c r="F66">
        <v>86.4</v>
      </c>
      <c r="G66">
        <v>70.2</v>
      </c>
      <c r="H66">
        <v>0</v>
      </c>
      <c r="I66">
        <v>86.5</v>
      </c>
      <c r="J66">
        <v>95.2</v>
      </c>
    </row>
    <row r="67" spans="1:10" x14ac:dyDescent="0.25">
      <c r="A67" t="s">
        <v>44</v>
      </c>
      <c r="B67">
        <v>696347</v>
      </c>
      <c r="C67" t="s">
        <v>30</v>
      </c>
      <c r="D67" t="s">
        <v>31</v>
      </c>
      <c r="E67">
        <v>0.1</v>
      </c>
      <c r="F67">
        <v>62.4</v>
      </c>
      <c r="G67">
        <v>46.2</v>
      </c>
      <c r="H67">
        <v>0</v>
      </c>
      <c r="I67">
        <v>62.5</v>
      </c>
      <c r="J67">
        <v>70.8</v>
      </c>
    </row>
    <row r="68" spans="1:10" x14ac:dyDescent="0.25">
      <c r="A68" t="s">
        <v>44</v>
      </c>
      <c r="B68">
        <v>696347</v>
      </c>
      <c r="C68" t="s">
        <v>32</v>
      </c>
      <c r="D68" t="s">
        <v>33</v>
      </c>
      <c r="E68">
        <v>0</v>
      </c>
      <c r="F68">
        <v>64.8</v>
      </c>
      <c r="G68">
        <v>49.6</v>
      </c>
      <c r="H68">
        <v>0</v>
      </c>
      <c r="I68">
        <v>64.900000000000006</v>
      </c>
      <c r="J68">
        <v>73.2</v>
      </c>
    </row>
    <row r="69" spans="1:10" x14ac:dyDescent="0.25">
      <c r="A69" t="s">
        <v>44</v>
      </c>
      <c r="B69">
        <v>696347</v>
      </c>
      <c r="C69" t="s">
        <v>34</v>
      </c>
      <c r="D69" t="s">
        <v>35</v>
      </c>
      <c r="E69">
        <v>0.1</v>
      </c>
      <c r="F69">
        <v>75</v>
      </c>
      <c r="G69">
        <v>46.5</v>
      </c>
      <c r="H69">
        <v>0</v>
      </c>
      <c r="I69">
        <v>75</v>
      </c>
      <c r="J69">
        <v>84</v>
      </c>
    </row>
    <row r="70" spans="1:10" x14ac:dyDescent="0.25">
      <c r="A70" t="s">
        <v>44</v>
      </c>
      <c r="B70">
        <v>696347</v>
      </c>
      <c r="C70" t="s">
        <v>36</v>
      </c>
      <c r="D70" t="s">
        <v>33</v>
      </c>
      <c r="E70">
        <v>0.1</v>
      </c>
      <c r="F70">
        <v>77.8</v>
      </c>
      <c r="G70">
        <v>49.5</v>
      </c>
      <c r="H70">
        <v>0</v>
      </c>
      <c r="I70">
        <v>77.900000000000006</v>
      </c>
      <c r="J70">
        <v>86.8</v>
      </c>
    </row>
    <row r="71" spans="1:10" x14ac:dyDescent="0.25">
      <c r="A71" t="s">
        <v>45</v>
      </c>
      <c r="B71">
        <v>710249</v>
      </c>
      <c r="C71" t="s">
        <v>30</v>
      </c>
      <c r="D71" t="s">
        <v>31</v>
      </c>
      <c r="E71">
        <v>0.1</v>
      </c>
      <c r="F71">
        <v>54.1</v>
      </c>
      <c r="G71">
        <v>36.799999999999997</v>
      </c>
      <c r="H71">
        <v>0</v>
      </c>
      <c r="I71">
        <v>54.2</v>
      </c>
      <c r="J71">
        <v>62.7</v>
      </c>
    </row>
    <row r="72" spans="1:10" x14ac:dyDescent="0.25">
      <c r="A72" t="s">
        <v>45</v>
      </c>
      <c r="B72">
        <v>710249</v>
      </c>
      <c r="C72" t="s">
        <v>32</v>
      </c>
      <c r="D72" t="s">
        <v>33</v>
      </c>
      <c r="E72">
        <v>0</v>
      </c>
      <c r="F72">
        <v>56.3</v>
      </c>
      <c r="G72">
        <v>38.6</v>
      </c>
      <c r="H72">
        <v>0</v>
      </c>
      <c r="I72">
        <v>56.4</v>
      </c>
      <c r="J72">
        <v>65</v>
      </c>
    </row>
    <row r="73" spans="1:10" x14ac:dyDescent="0.25">
      <c r="A73" t="s">
        <v>45</v>
      </c>
      <c r="B73">
        <v>710249</v>
      </c>
      <c r="C73" t="s">
        <v>34</v>
      </c>
      <c r="D73" t="s">
        <v>35</v>
      </c>
      <c r="E73">
        <v>0.1</v>
      </c>
      <c r="F73">
        <v>53</v>
      </c>
      <c r="G73">
        <v>37</v>
      </c>
      <c r="H73">
        <v>0</v>
      </c>
      <c r="I73">
        <v>53.1</v>
      </c>
      <c r="J73">
        <v>61.3</v>
      </c>
    </row>
    <row r="74" spans="1:10" x14ac:dyDescent="0.25">
      <c r="A74" t="s">
        <v>45</v>
      </c>
      <c r="B74">
        <v>710249</v>
      </c>
      <c r="C74" t="s">
        <v>36</v>
      </c>
      <c r="D74" t="s">
        <v>33</v>
      </c>
      <c r="E74">
        <v>0.1</v>
      </c>
      <c r="F74">
        <v>55.4</v>
      </c>
      <c r="G74">
        <v>38.6</v>
      </c>
      <c r="H74">
        <v>0</v>
      </c>
      <c r="I74">
        <v>55.5</v>
      </c>
      <c r="J74">
        <v>63.9</v>
      </c>
    </row>
    <row r="75" spans="1:10" x14ac:dyDescent="0.25">
      <c r="A75" t="s">
        <v>46</v>
      </c>
      <c r="B75">
        <v>691176</v>
      </c>
      <c r="C75" t="s">
        <v>30</v>
      </c>
      <c r="D75" t="s">
        <v>31</v>
      </c>
      <c r="E75">
        <v>0.1</v>
      </c>
      <c r="F75">
        <v>34.299999999999997</v>
      </c>
      <c r="G75">
        <v>32.200000000000003</v>
      </c>
      <c r="H75">
        <v>0</v>
      </c>
      <c r="I75">
        <v>36.4</v>
      </c>
      <c r="J75">
        <v>45</v>
      </c>
    </row>
    <row r="76" spans="1:10" x14ac:dyDescent="0.25">
      <c r="A76" t="s">
        <v>46</v>
      </c>
      <c r="B76">
        <v>691176</v>
      </c>
      <c r="C76" t="s">
        <v>32</v>
      </c>
      <c r="D76" t="s">
        <v>33</v>
      </c>
      <c r="E76">
        <v>0</v>
      </c>
      <c r="F76">
        <v>36.6</v>
      </c>
      <c r="G76">
        <v>36.1</v>
      </c>
      <c r="H76">
        <v>0</v>
      </c>
      <c r="I76">
        <v>39.4</v>
      </c>
      <c r="J76">
        <v>48.1</v>
      </c>
    </row>
    <row r="77" spans="1:10" x14ac:dyDescent="0.25">
      <c r="A77" t="s">
        <v>46</v>
      </c>
      <c r="B77">
        <v>691176</v>
      </c>
      <c r="C77" t="s">
        <v>34</v>
      </c>
      <c r="D77" t="s">
        <v>35</v>
      </c>
      <c r="E77">
        <v>0.1</v>
      </c>
      <c r="F77">
        <v>34.200000000000003</v>
      </c>
      <c r="G77">
        <v>33</v>
      </c>
      <c r="H77">
        <v>0</v>
      </c>
      <c r="I77">
        <v>36.700000000000003</v>
      </c>
      <c r="J77">
        <v>45</v>
      </c>
    </row>
    <row r="78" spans="1:10" x14ac:dyDescent="0.25">
      <c r="A78" t="s">
        <v>46</v>
      </c>
      <c r="B78">
        <v>691176</v>
      </c>
      <c r="C78" t="s">
        <v>36</v>
      </c>
      <c r="D78" t="s">
        <v>33</v>
      </c>
      <c r="E78">
        <v>0.1</v>
      </c>
      <c r="F78">
        <v>36.4</v>
      </c>
      <c r="G78">
        <v>36.1</v>
      </c>
      <c r="H78">
        <v>0</v>
      </c>
      <c r="I78">
        <v>39.299999999999997</v>
      </c>
      <c r="J78">
        <v>47.9</v>
      </c>
    </row>
    <row r="79" spans="1:10" x14ac:dyDescent="0.25">
      <c r="A79" t="s">
        <v>47</v>
      </c>
      <c r="B79">
        <v>697844</v>
      </c>
      <c r="C79" t="s">
        <v>30</v>
      </c>
      <c r="D79" t="s">
        <v>31</v>
      </c>
      <c r="E79">
        <v>0.1</v>
      </c>
      <c r="F79">
        <v>77.900000000000006</v>
      </c>
      <c r="G79">
        <v>58</v>
      </c>
      <c r="H79">
        <v>0</v>
      </c>
      <c r="I79">
        <v>78</v>
      </c>
      <c r="J79">
        <v>86.7</v>
      </c>
    </row>
    <row r="80" spans="1:10" x14ac:dyDescent="0.25">
      <c r="A80" t="s">
        <v>47</v>
      </c>
      <c r="B80">
        <v>697844</v>
      </c>
      <c r="C80" t="s">
        <v>32</v>
      </c>
      <c r="D80" t="s">
        <v>33</v>
      </c>
      <c r="E80">
        <v>0</v>
      </c>
      <c r="F80">
        <v>79.900000000000006</v>
      </c>
      <c r="G80">
        <v>60.9</v>
      </c>
      <c r="H80">
        <v>0</v>
      </c>
      <c r="I80">
        <v>80</v>
      </c>
      <c r="J80">
        <v>88.7</v>
      </c>
    </row>
    <row r="81" spans="1:10" x14ac:dyDescent="0.25">
      <c r="A81" t="s">
        <v>47</v>
      </c>
      <c r="B81">
        <v>697844</v>
      </c>
      <c r="C81" t="s">
        <v>34</v>
      </c>
      <c r="D81" t="s">
        <v>35</v>
      </c>
      <c r="E81">
        <v>0.1</v>
      </c>
      <c r="F81">
        <v>75.5</v>
      </c>
      <c r="G81">
        <v>52</v>
      </c>
      <c r="H81">
        <v>0</v>
      </c>
      <c r="I81">
        <v>75.5</v>
      </c>
      <c r="J81">
        <v>83.2</v>
      </c>
    </row>
    <row r="82" spans="1:10" x14ac:dyDescent="0.25">
      <c r="A82" t="s">
        <v>47</v>
      </c>
      <c r="B82">
        <v>697844</v>
      </c>
      <c r="C82" t="s">
        <v>36</v>
      </c>
      <c r="D82" t="s">
        <v>33</v>
      </c>
      <c r="E82">
        <v>0.1</v>
      </c>
      <c r="F82">
        <v>77.599999999999994</v>
      </c>
      <c r="G82">
        <v>54</v>
      </c>
      <c r="H82">
        <v>0</v>
      </c>
      <c r="I82">
        <v>77.599999999999994</v>
      </c>
      <c r="J82">
        <v>85.3</v>
      </c>
    </row>
    <row r="84" spans="1:10" x14ac:dyDescent="0.25">
      <c r="A84" t="s">
        <v>0</v>
      </c>
    </row>
    <row r="85" spans="1:10" x14ac:dyDescent="0.25">
      <c r="A85" t="s">
        <v>371</v>
      </c>
    </row>
    <row r="86" spans="1:10" x14ac:dyDescent="0.25">
      <c r="A86" t="s">
        <v>0</v>
      </c>
    </row>
    <row r="87" spans="1:10" x14ac:dyDescent="0.25">
      <c r="A87" t="s">
        <v>48</v>
      </c>
    </row>
    <row r="88" spans="1:10" x14ac:dyDescent="0.25">
      <c r="A88" t="s">
        <v>49</v>
      </c>
    </row>
    <row r="89" spans="1:10" x14ac:dyDescent="0.25">
      <c r="A89" t="s">
        <v>50</v>
      </c>
    </row>
    <row r="91" spans="1:10" x14ac:dyDescent="0.25">
      <c r="A91" t="s">
        <v>51</v>
      </c>
    </row>
    <row r="94" spans="1:10" x14ac:dyDescent="0.25">
      <c r="A94" t="s">
        <v>52</v>
      </c>
    </row>
    <row r="95" spans="1:10" x14ac:dyDescent="0.25">
      <c r="A95" t="s">
        <v>53</v>
      </c>
      <c r="B95">
        <v>1</v>
      </c>
    </row>
    <row r="97" spans="1:2" x14ac:dyDescent="0.25">
      <c r="A97" t="s">
        <v>54</v>
      </c>
    </row>
    <row r="98" spans="1:2" x14ac:dyDescent="0.25">
      <c r="A98" t="s">
        <v>55</v>
      </c>
      <c r="B98" t="s">
        <v>56</v>
      </c>
    </row>
    <row r="99" spans="1:2" x14ac:dyDescent="0.25">
      <c r="A99" t="s">
        <v>57</v>
      </c>
      <c r="B99" t="s">
        <v>58</v>
      </c>
    </row>
    <row r="100" spans="1:2" x14ac:dyDescent="0.25">
      <c r="A100" t="s">
        <v>59</v>
      </c>
      <c r="B100" t="s">
        <v>58</v>
      </c>
    </row>
    <row r="101" spans="1:2" x14ac:dyDescent="0.25">
      <c r="A101" t="s">
        <v>60</v>
      </c>
      <c r="B101" t="s">
        <v>61</v>
      </c>
    </row>
    <row r="102" spans="1:2" x14ac:dyDescent="0.25">
      <c r="A102" t="s">
        <v>62</v>
      </c>
      <c r="B102" t="s">
        <v>58</v>
      </c>
    </row>
    <row r="103" spans="1:2" x14ac:dyDescent="0.25">
      <c r="A103" t="s">
        <v>63</v>
      </c>
      <c r="B103" t="s">
        <v>58</v>
      </c>
    </row>
    <row r="104" spans="1:2" x14ac:dyDescent="0.25">
      <c r="A104" t="s">
        <v>64</v>
      </c>
      <c r="B104" t="s">
        <v>65</v>
      </c>
    </row>
    <row r="105" spans="1:2" x14ac:dyDescent="0.25">
      <c r="A105" t="s">
        <v>66</v>
      </c>
      <c r="B105" t="s">
        <v>67</v>
      </c>
    </row>
    <row r="106" spans="1:2" x14ac:dyDescent="0.25">
      <c r="A106" t="s">
        <v>68</v>
      </c>
      <c r="B106" t="s">
        <v>58</v>
      </c>
    </row>
    <row r="109" spans="1:2" x14ac:dyDescent="0.25">
      <c r="A109" t="s">
        <v>69</v>
      </c>
    </row>
    <row r="110" spans="1:2" x14ac:dyDescent="0.25">
      <c r="A110" t="s">
        <v>53</v>
      </c>
      <c r="B110">
        <v>12</v>
      </c>
    </row>
    <row r="112" spans="1:2" x14ac:dyDescent="0.25">
      <c r="A112" t="s">
        <v>70</v>
      </c>
    </row>
    <row r="113" spans="1:4" x14ac:dyDescent="0.25">
      <c r="A113" t="s">
        <v>71</v>
      </c>
      <c r="B113" t="s">
        <v>72</v>
      </c>
    </row>
    <row r="114" spans="1:4" x14ac:dyDescent="0.25">
      <c r="A114" t="s">
        <v>68</v>
      </c>
      <c r="B114" t="s">
        <v>58</v>
      </c>
    </row>
    <row r="115" spans="1:4" x14ac:dyDescent="0.25">
      <c r="A115" t="s">
        <v>73</v>
      </c>
      <c r="B115" t="s">
        <v>74</v>
      </c>
    </row>
    <row r="116" spans="1:4" x14ac:dyDescent="0.25">
      <c r="A116" t="s">
        <v>75</v>
      </c>
      <c r="B116">
        <v>716653.94</v>
      </c>
      <c r="C116">
        <v>248246.81</v>
      </c>
      <c r="D116">
        <v>4</v>
      </c>
    </row>
    <row r="118" spans="1:4" x14ac:dyDescent="0.25">
      <c r="A118" t="s">
        <v>70</v>
      </c>
    </row>
    <row r="119" spans="1:4" x14ac:dyDescent="0.25">
      <c r="A119" t="s">
        <v>71</v>
      </c>
      <c r="B119" t="s">
        <v>76</v>
      </c>
    </row>
    <row r="120" spans="1:4" x14ac:dyDescent="0.25">
      <c r="A120" t="s">
        <v>68</v>
      </c>
      <c r="B120" t="s">
        <v>58</v>
      </c>
    </row>
    <row r="121" spans="1:4" x14ac:dyDescent="0.25">
      <c r="A121" t="s">
        <v>73</v>
      </c>
      <c r="B121" t="s">
        <v>77</v>
      </c>
    </row>
    <row r="122" spans="1:4" x14ac:dyDescent="0.25">
      <c r="A122" t="s">
        <v>75</v>
      </c>
      <c r="B122">
        <v>716666.22</v>
      </c>
      <c r="C122">
        <v>248206.77</v>
      </c>
      <c r="D122">
        <v>4</v>
      </c>
    </row>
    <row r="124" spans="1:4" x14ac:dyDescent="0.25">
      <c r="A124" t="s">
        <v>70</v>
      </c>
    </row>
    <row r="125" spans="1:4" x14ac:dyDescent="0.25">
      <c r="A125" t="s">
        <v>71</v>
      </c>
      <c r="B125" t="s">
        <v>78</v>
      </c>
    </row>
    <row r="126" spans="1:4" x14ac:dyDescent="0.25">
      <c r="A126" t="s">
        <v>68</v>
      </c>
      <c r="B126" t="s">
        <v>58</v>
      </c>
    </row>
    <row r="127" spans="1:4" x14ac:dyDescent="0.25">
      <c r="A127" t="s">
        <v>73</v>
      </c>
      <c r="B127" t="s">
        <v>79</v>
      </c>
    </row>
    <row r="128" spans="1:4" x14ac:dyDescent="0.25">
      <c r="A128" t="s">
        <v>75</v>
      </c>
      <c r="B128">
        <v>716670.1</v>
      </c>
      <c r="C128">
        <v>247965.8</v>
      </c>
      <c r="D128">
        <v>4</v>
      </c>
    </row>
    <row r="130" spans="1:4" x14ac:dyDescent="0.25">
      <c r="A130" t="s">
        <v>70</v>
      </c>
    </row>
    <row r="131" spans="1:4" x14ac:dyDescent="0.25">
      <c r="A131" t="s">
        <v>71</v>
      </c>
      <c r="B131" t="s">
        <v>80</v>
      </c>
    </row>
    <row r="132" spans="1:4" x14ac:dyDescent="0.25">
      <c r="A132" t="s">
        <v>68</v>
      </c>
      <c r="B132" t="s">
        <v>58</v>
      </c>
    </row>
    <row r="133" spans="1:4" x14ac:dyDescent="0.25">
      <c r="A133" t="s">
        <v>73</v>
      </c>
      <c r="B133" t="s">
        <v>81</v>
      </c>
    </row>
    <row r="134" spans="1:4" x14ac:dyDescent="0.25">
      <c r="A134" t="s">
        <v>75</v>
      </c>
      <c r="B134">
        <v>716527.28</v>
      </c>
      <c r="C134">
        <v>248040.95999999999</v>
      </c>
      <c r="D134">
        <v>4</v>
      </c>
    </row>
    <row r="136" spans="1:4" x14ac:dyDescent="0.25">
      <c r="A136" t="s">
        <v>70</v>
      </c>
    </row>
    <row r="137" spans="1:4" x14ac:dyDescent="0.25">
      <c r="A137" t="s">
        <v>71</v>
      </c>
      <c r="B137" t="s">
        <v>82</v>
      </c>
    </row>
    <row r="138" spans="1:4" x14ac:dyDescent="0.25">
      <c r="A138" t="s">
        <v>68</v>
      </c>
      <c r="B138" t="s">
        <v>58</v>
      </c>
    </row>
    <row r="139" spans="1:4" x14ac:dyDescent="0.25">
      <c r="A139" t="s">
        <v>73</v>
      </c>
      <c r="B139" t="s">
        <v>81</v>
      </c>
    </row>
    <row r="140" spans="1:4" x14ac:dyDescent="0.25">
      <c r="A140" t="s">
        <v>75</v>
      </c>
      <c r="B140">
        <v>716527.28</v>
      </c>
      <c r="C140">
        <v>248040.95999999999</v>
      </c>
      <c r="D140">
        <v>8</v>
      </c>
    </row>
    <row r="142" spans="1:4" x14ac:dyDescent="0.25">
      <c r="A142" t="s">
        <v>70</v>
      </c>
    </row>
    <row r="143" spans="1:4" x14ac:dyDescent="0.25">
      <c r="A143" t="s">
        <v>71</v>
      </c>
      <c r="B143" t="s">
        <v>83</v>
      </c>
    </row>
    <row r="144" spans="1:4" x14ac:dyDescent="0.25">
      <c r="A144" t="s">
        <v>68</v>
      </c>
      <c r="B144" t="s">
        <v>58</v>
      </c>
    </row>
    <row r="145" spans="1:4" x14ac:dyDescent="0.25">
      <c r="A145" t="s">
        <v>73</v>
      </c>
      <c r="B145" t="s">
        <v>81</v>
      </c>
    </row>
    <row r="146" spans="1:4" x14ac:dyDescent="0.25">
      <c r="A146" t="s">
        <v>75</v>
      </c>
      <c r="B146">
        <v>716527.28</v>
      </c>
      <c r="C146">
        <v>248040.95999999999</v>
      </c>
      <c r="D146">
        <v>12</v>
      </c>
    </row>
    <row r="148" spans="1:4" x14ac:dyDescent="0.25">
      <c r="A148" t="s">
        <v>70</v>
      </c>
    </row>
    <row r="149" spans="1:4" x14ac:dyDescent="0.25">
      <c r="A149" t="s">
        <v>71</v>
      </c>
      <c r="B149" t="s">
        <v>84</v>
      </c>
    </row>
    <row r="150" spans="1:4" x14ac:dyDescent="0.25">
      <c r="A150" t="s">
        <v>68</v>
      </c>
      <c r="B150" t="s">
        <v>58</v>
      </c>
    </row>
    <row r="151" spans="1:4" x14ac:dyDescent="0.25">
      <c r="A151" t="s">
        <v>73</v>
      </c>
      <c r="B151" t="s">
        <v>85</v>
      </c>
    </row>
    <row r="152" spans="1:4" x14ac:dyDescent="0.25">
      <c r="A152" t="s">
        <v>75</v>
      </c>
      <c r="B152">
        <v>716373.41</v>
      </c>
      <c r="C152">
        <v>248261.62</v>
      </c>
      <c r="D152">
        <v>4</v>
      </c>
    </row>
    <row r="154" spans="1:4" x14ac:dyDescent="0.25">
      <c r="A154" t="s">
        <v>70</v>
      </c>
    </row>
    <row r="155" spans="1:4" x14ac:dyDescent="0.25">
      <c r="A155" t="s">
        <v>71</v>
      </c>
      <c r="B155" t="s">
        <v>86</v>
      </c>
    </row>
    <row r="156" spans="1:4" x14ac:dyDescent="0.25">
      <c r="A156" t="s">
        <v>68</v>
      </c>
      <c r="B156" t="s">
        <v>58</v>
      </c>
    </row>
    <row r="157" spans="1:4" x14ac:dyDescent="0.25">
      <c r="A157" t="s">
        <v>73</v>
      </c>
      <c r="B157" t="s">
        <v>85</v>
      </c>
    </row>
    <row r="158" spans="1:4" x14ac:dyDescent="0.25">
      <c r="A158" t="s">
        <v>75</v>
      </c>
      <c r="B158">
        <v>716373.41</v>
      </c>
      <c r="C158">
        <v>248261.62</v>
      </c>
      <c r="D158">
        <v>8</v>
      </c>
    </row>
    <row r="160" spans="1:4" x14ac:dyDescent="0.25">
      <c r="A160" t="s">
        <v>70</v>
      </c>
    </row>
    <row r="161" spans="1:4" x14ac:dyDescent="0.25">
      <c r="A161" t="s">
        <v>71</v>
      </c>
      <c r="B161" t="s">
        <v>87</v>
      </c>
    </row>
    <row r="162" spans="1:4" x14ac:dyDescent="0.25">
      <c r="A162" t="s">
        <v>68</v>
      </c>
      <c r="B162" t="s">
        <v>58</v>
      </c>
    </row>
    <row r="163" spans="1:4" x14ac:dyDescent="0.25">
      <c r="A163" t="s">
        <v>73</v>
      </c>
      <c r="B163" t="s">
        <v>88</v>
      </c>
    </row>
    <row r="164" spans="1:4" x14ac:dyDescent="0.25">
      <c r="A164" t="s">
        <v>75</v>
      </c>
      <c r="B164">
        <v>716043.27</v>
      </c>
      <c r="C164">
        <v>248216.29</v>
      </c>
      <c r="D164">
        <v>4</v>
      </c>
    </row>
    <row r="166" spans="1:4" x14ac:dyDescent="0.25">
      <c r="A166" t="s">
        <v>70</v>
      </c>
    </row>
    <row r="167" spans="1:4" x14ac:dyDescent="0.25">
      <c r="A167" t="s">
        <v>71</v>
      </c>
      <c r="B167" t="s">
        <v>89</v>
      </c>
    </row>
    <row r="168" spans="1:4" x14ac:dyDescent="0.25">
      <c r="A168" t="s">
        <v>68</v>
      </c>
      <c r="B168" t="s">
        <v>58</v>
      </c>
    </row>
    <row r="169" spans="1:4" x14ac:dyDescent="0.25">
      <c r="A169" t="s">
        <v>73</v>
      </c>
      <c r="B169" t="s">
        <v>90</v>
      </c>
    </row>
    <row r="170" spans="1:4" x14ac:dyDescent="0.25">
      <c r="A170" t="s">
        <v>75</v>
      </c>
      <c r="B170">
        <v>715848.85</v>
      </c>
      <c r="C170">
        <v>248571.12</v>
      </c>
      <c r="D170">
        <v>4</v>
      </c>
    </row>
    <row r="172" spans="1:4" x14ac:dyDescent="0.25">
      <c r="A172" t="s">
        <v>70</v>
      </c>
    </row>
    <row r="173" spans="1:4" x14ac:dyDescent="0.25">
      <c r="A173" t="s">
        <v>71</v>
      </c>
      <c r="B173" t="s">
        <v>91</v>
      </c>
    </row>
    <row r="174" spans="1:4" x14ac:dyDescent="0.25">
      <c r="A174" t="s">
        <v>68</v>
      </c>
      <c r="B174" t="s">
        <v>58</v>
      </c>
    </row>
    <row r="175" spans="1:4" x14ac:dyDescent="0.25">
      <c r="A175" t="s">
        <v>73</v>
      </c>
      <c r="B175" t="s">
        <v>92</v>
      </c>
    </row>
    <row r="176" spans="1:4" x14ac:dyDescent="0.25">
      <c r="A176" t="s">
        <v>75</v>
      </c>
      <c r="B176">
        <v>716482.91</v>
      </c>
      <c r="C176">
        <v>249015.24</v>
      </c>
      <c r="D176">
        <v>4</v>
      </c>
    </row>
    <row r="178" spans="1:4" x14ac:dyDescent="0.25">
      <c r="A178" t="s">
        <v>70</v>
      </c>
    </row>
    <row r="179" spans="1:4" x14ac:dyDescent="0.25">
      <c r="A179" t="s">
        <v>71</v>
      </c>
      <c r="B179" t="s">
        <v>93</v>
      </c>
    </row>
    <row r="180" spans="1:4" x14ac:dyDescent="0.25">
      <c r="A180" t="s">
        <v>68</v>
      </c>
      <c r="B180" t="s">
        <v>58</v>
      </c>
    </row>
    <row r="181" spans="1:4" x14ac:dyDescent="0.25">
      <c r="A181" t="s">
        <v>73</v>
      </c>
      <c r="B181" t="s">
        <v>94</v>
      </c>
    </row>
    <row r="182" spans="1:4" x14ac:dyDescent="0.25">
      <c r="A182" t="s">
        <v>75</v>
      </c>
      <c r="B182">
        <v>716688.08</v>
      </c>
      <c r="C182">
        <v>248550.04</v>
      </c>
      <c r="D182">
        <v>4</v>
      </c>
    </row>
    <row r="185" spans="1:4" x14ac:dyDescent="0.25">
      <c r="A185" t="s">
        <v>95</v>
      </c>
    </row>
    <row r="186" spans="1:4" x14ac:dyDescent="0.25">
      <c r="A186" t="s">
        <v>53</v>
      </c>
      <c r="B186">
        <v>4</v>
      </c>
    </row>
    <row r="188" spans="1:4" x14ac:dyDescent="0.25">
      <c r="A188" t="s">
        <v>96</v>
      </c>
    </row>
    <row r="189" spans="1:4" x14ac:dyDescent="0.25">
      <c r="A189" t="s">
        <v>71</v>
      </c>
      <c r="B189" t="s">
        <v>97</v>
      </c>
    </row>
    <row r="190" spans="1:4" x14ac:dyDescent="0.25">
      <c r="A190" t="s">
        <v>68</v>
      </c>
      <c r="B190" t="s">
        <v>58</v>
      </c>
    </row>
    <row r="191" spans="1:4" x14ac:dyDescent="0.25">
      <c r="A191" t="s">
        <v>75</v>
      </c>
      <c r="B191">
        <v>716602.88</v>
      </c>
      <c r="C191">
        <v>248240.4</v>
      </c>
      <c r="D191">
        <v>2.64</v>
      </c>
    </row>
    <row r="192" spans="1:4" x14ac:dyDescent="0.25">
      <c r="A192" t="s">
        <v>98</v>
      </c>
      <c r="B192">
        <v>716325.8</v>
      </c>
      <c r="C192">
        <v>248367.9</v>
      </c>
      <c r="D192">
        <v>2.23</v>
      </c>
    </row>
    <row r="193" spans="1:4" x14ac:dyDescent="0.25">
      <c r="A193" t="s">
        <v>99</v>
      </c>
      <c r="B193" t="s">
        <v>100</v>
      </c>
    </row>
    <row r="195" spans="1:4" x14ac:dyDescent="0.25">
      <c r="A195" t="s">
        <v>96</v>
      </c>
    </row>
    <row r="196" spans="1:4" x14ac:dyDescent="0.25">
      <c r="A196" t="s">
        <v>71</v>
      </c>
      <c r="B196" t="s">
        <v>101</v>
      </c>
    </row>
    <row r="197" spans="1:4" x14ac:dyDescent="0.25">
      <c r="A197" t="s">
        <v>68</v>
      </c>
      <c r="B197" t="s">
        <v>102</v>
      </c>
    </row>
    <row r="198" spans="1:4" x14ac:dyDescent="0.25">
      <c r="A198" t="s">
        <v>75</v>
      </c>
      <c r="B198">
        <v>716602.88</v>
      </c>
      <c r="C198">
        <v>248240.4</v>
      </c>
      <c r="D198">
        <v>2.64</v>
      </c>
    </row>
    <row r="199" spans="1:4" x14ac:dyDescent="0.25">
      <c r="A199" t="s">
        <v>98</v>
      </c>
      <c r="B199">
        <v>716325.8</v>
      </c>
      <c r="C199">
        <v>248367.8</v>
      </c>
      <c r="D199">
        <v>2.23</v>
      </c>
    </row>
    <row r="200" spans="1:4" x14ac:dyDescent="0.25">
      <c r="A200" t="s">
        <v>99</v>
      </c>
      <c r="B200" t="s">
        <v>103</v>
      </c>
    </row>
    <row r="202" spans="1:4" x14ac:dyDescent="0.25">
      <c r="A202" t="s">
        <v>96</v>
      </c>
    </row>
    <row r="203" spans="1:4" x14ac:dyDescent="0.25">
      <c r="A203" t="s">
        <v>71</v>
      </c>
      <c r="B203" t="s">
        <v>104</v>
      </c>
    </row>
    <row r="204" spans="1:4" x14ac:dyDescent="0.25">
      <c r="A204" t="s">
        <v>68</v>
      </c>
      <c r="B204" t="s">
        <v>58</v>
      </c>
    </row>
    <row r="205" spans="1:4" x14ac:dyDescent="0.25">
      <c r="A205" t="s">
        <v>75</v>
      </c>
      <c r="B205">
        <v>716605.54</v>
      </c>
      <c r="C205">
        <v>248246.42</v>
      </c>
      <c r="D205">
        <v>1.1399999999999999</v>
      </c>
    </row>
    <row r="206" spans="1:4" x14ac:dyDescent="0.25">
      <c r="A206" t="s">
        <v>98</v>
      </c>
      <c r="B206">
        <v>716331</v>
      </c>
      <c r="C206">
        <v>248374.9</v>
      </c>
      <c r="D206">
        <v>1.2</v>
      </c>
    </row>
    <row r="207" spans="1:4" x14ac:dyDescent="0.25">
      <c r="A207" t="s">
        <v>99</v>
      </c>
      <c r="B207" t="s">
        <v>105</v>
      </c>
    </row>
    <row r="209" spans="1:4" x14ac:dyDescent="0.25">
      <c r="A209" t="s">
        <v>96</v>
      </c>
    </row>
    <row r="210" spans="1:4" x14ac:dyDescent="0.25">
      <c r="A210" t="s">
        <v>71</v>
      </c>
      <c r="B210" t="s">
        <v>106</v>
      </c>
    </row>
    <row r="211" spans="1:4" x14ac:dyDescent="0.25">
      <c r="A211" t="s">
        <v>68</v>
      </c>
      <c r="B211" t="s">
        <v>102</v>
      </c>
    </row>
    <row r="212" spans="1:4" x14ac:dyDescent="0.25">
      <c r="A212" t="s">
        <v>75</v>
      </c>
      <c r="B212">
        <v>716605.54</v>
      </c>
      <c r="C212">
        <v>248246.42</v>
      </c>
      <c r="D212">
        <v>1.1399999999999999</v>
      </c>
    </row>
    <row r="213" spans="1:4" x14ac:dyDescent="0.25">
      <c r="A213" t="s">
        <v>98</v>
      </c>
      <c r="B213">
        <v>716331</v>
      </c>
      <c r="C213">
        <v>248374.9</v>
      </c>
      <c r="D213">
        <v>1.2</v>
      </c>
    </row>
    <row r="214" spans="1:4" x14ac:dyDescent="0.25">
      <c r="A214" t="s">
        <v>99</v>
      </c>
      <c r="B214" t="s">
        <v>103</v>
      </c>
    </row>
    <row r="217" spans="1:4" x14ac:dyDescent="0.25">
      <c r="A217" t="s">
        <v>107</v>
      </c>
    </row>
    <row r="218" spans="1:4" x14ac:dyDescent="0.25">
      <c r="A218" t="s">
        <v>53</v>
      </c>
      <c r="B218">
        <v>1</v>
      </c>
    </row>
    <row r="220" spans="1:4" x14ac:dyDescent="0.25">
      <c r="A220" t="s">
        <v>108</v>
      </c>
    </row>
    <row r="221" spans="1:4" x14ac:dyDescent="0.25">
      <c r="A221" t="s">
        <v>71</v>
      </c>
      <c r="B221" t="s">
        <v>109</v>
      </c>
    </row>
    <row r="222" spans="1:4" x14ac:dyDescent="0.25">
      <c r="A222" t="s">
        <v>68</v>
      </c>
      <c r="B222" t="s">
        <v>58</v>
      </c>
    </row>
    <row r="223" spans="1:4" x14ac:dyDescent="0.25">
      <c r="A223" t="s">
        <v>110</v>
      </c>
      <c r="B223">
        <v>716601.9</v>
      </c>
      <c r="C223">
        <v>248237.8</v>
      </c>
      <c r="D223">
        <v>4</v>
      </c>
    </row>
    <row r="224" spans="1:4" x14ac:dyDescent="0.25">
      <c r="A224" t="s">
        <v>111</v>
      </c>
      <c r="B224">
        <v>716606.9</v>
      </c>
      <c r="C224">
        <v>248249.1</v>
      </c>
    </row>
    <row r="225" spans="1:2" x14ac:dyDescent="0.25">
      <c r="A225" t="s">
        <v>112</v>
      </c>
      <c r="B225">
        <v>8</v>
      </c>
    </row>
    <row r="226" spans="1:2" x14ac:dyDescent="0.25">
      <c r="A226" t="s">
        <v>113</v>
      </c>
      <c r="B226">
        <v>4</v>
      </c>
    </row>
    <row r="227" spans="1:2" x14ac:dyDescent="0.25">
      <c r="A227" t="s">
        <v>114</v>
      </c>
      <c r="B227">
        <v>6</v>
      </c>
    </row>
    <row r="228" spans="1:2" x14ac:dyDescent="0.25">
      <c r="A228" t="s">
        <v>115</v>
      </c>
      <c r="B228">
        <v>10</v>
      </c>
    </row>
    <row r="229" spans="1:2" x14ac:dyDescent="0.25">
      <c r="A229" t="s">
        <v>116</v>
      </c>
      <c r="B229">
        <v>4</v>
      </c>
    </row>
    <row r="230" spans="1:2" x14ac:dyDescent="0.25">
      <c r="A230" t="s">
        <v>117</v>
      </c>
      <c r="B230">
        <v>0</v>
      </c>
    </row>
    <row r="231" spans="1:2" x14ac:dyDescent="0.25">
      <c r="A231" t="s">
        <v>118</v>
      </c>
      <c r="B231">
        <v>0</v>
      </c>
    </row>
    <row r="232" spans="1:2" x14ac:dyDescent="0.25">
      <c r="A232" t="s">
        <v>119</v>
      </c>
      <c r="B232" t="s">
        <v>120</v>
      </c>
    </row>
    <row r="233" spans="1:2" x14ac:dyDescent="0.25">
      <c r="A233" t="s">
        <v>121</v>
      </c>
      <c r="B233" t="s">
        <v>120</v>
      </c>
    </row>
    <row r="234" spans="1:2" x14ac:dyDescent="0.25">
      <c r="A234" t="s">
        <v>122</v>
      </c>
      <c r="B234" t="s">
        <v>120</v>
      </c>
    </row>
    <row r="237" spans="1:2" x14ac:dyDescent="0.25">
      <c r="A237" t="s">
        <v>123</v>
      </c>
    </row>
    <row r="238" spans="1:2" x14ac:dyDescent="0.25">
      <c r="A238" t="s">
        <v>53</v>
      </c>
      <c r="B238">
        <v>0</v>
      </c>
    </row>
    <row r="241" spans="1:5" x14ac:dyDescent="0.25">
      <c r="A241" t="s">
        <v>124</v>
      </c>
    </row>
    <row r="242" spans="1:5" x14ac:dyDescent="0.25">
      <c r="A242" t="s">
        <v>53</v>
      </c>
      <c r="B242">
        <v>2</v>
      </c>
    </row>
    <row r="244" spans="1:5" x14ac:dyDescent="0.25">
      <c r="A244" t="s">
        <v>125</v>
      </c>
    </row>
    <row r="245" spans="1:5" x14ac:dyDescent="0.25">
      <c r="A245" t="s">
        <v>71</v>
      </c>
      <c r="B245" t="s">
        <v>126</v>
      </c>
    </row>
    <row r="246" spans="1:5" x14ac:dyDescent="0.25">
      <c r="A246" t="s">
        <v>68</v>
      </c>
      <c r="B246" t="s">
        <v>58</v>
      </c>
    </row>
    <row r="247" spans="1:5" x14ac:dyDescent="0.25">
      <c r="A247" t="s">
        <v>127</v>
      </c>
      <c r="B247" t="s">
        <v>120</v>
      </c>
    </row>
    <row r="248" spans="1:5" x14ac:dyDescent="0.25">
      <c r="A248" t="s">
        <v>75</v>
      </c>
      <c r="B248">
        <v>2</v>
      </c>
    </row>
    <row r="249" spans="1:5" x14ac:dyDescent="0.25">
      <c r="B249">
        <v>716418.12</v>
      </c>
      <c r="C249">
        <v>248318.89</v>
      </c>
      <c r="D249">
        <v>5</v>
      </c>
      <c r="E249">
        <v>0</v>
      </c>
    </row>
    <row r="250" spans="1:5" x14ac:dyDescent="0.25">
      <c r="B250">
        <v>716447.81</v>
      </c>
      <c r="C250">
        <v>248306.41</v>
      </c>
      <c r="D250">
        <v>5</v>
      </c>
      <c r="E250">
        <v>0</v>
      </c>
    </row>
    <row r="252" spans="1:5" x14ac:dyDescent="0.25">
      <c r="A252" t="s">
        <v>125</v>
      </c>
    </row>
    <row r="253" spans="1:5" x14ac:dyDescent="0.25">
      <c r="A253" t="s">
        <v>71</v>
      </c>
      <c r="B253" t="s">
        <v>128</v>
      </c>
    </row>
    <row r="254" spans="1:5" x14ac:dyDescent="0.25">
      <c r="A254" t="s">
        <v>68</v>
      </c>
      <c r="B254" t="s">
        <v>58</v>
      </c>
    </row>
    <row r="255" spans="1:5" x14ac:dyDescent="0.25">
      <c r="A255" t="s">
        <v>127</v>
      </c>
      <c r="B255" t="s">
        <v>120</v>
      </c>
    </row>
    <row r="256" spans="1:5" x14ac:dyDescent="0.25">
      <c r="A256" t="s">
        <v>75</v>
      </c>
      <c r="B256">
        <v>2</v>
      </c>
    </row>
    <row r="257" spans="1:5" x14ac:dyDescent="0.25">
      <c r="B257">
        <v>716590</v>
      </c>
      <c r="C257">
        <v>248241.91</v>
      </c>
      <c r="D257">
        <v>6</v>
      </c>
      <c r="E257">
        <v>4</v>
      </c>
    </row>
    <row r="258" spans="1:5" x14ac:dyDescent="0.25">
      <c r="B258">
        <v>716594.87</v>
      </c>
      <c r="C258">
        <v>248254.14</v>
      </c>
      <c r="D258">
        <v>6</v>
      </c>
      <c r="E258">
        <v>4</v>
      </c>
    </row>
    <row r="261" spans="1:5" x14ac:dyDescent="0.25">
      <c r="A261" t="s">
        <v>129</v>
      </c>
    </row>
    <row r="262" spans="1:5" x14ac:dyDescent="0.25">
      <c r="A262" t="s">
        <v>53</v>
      </c>
      <c r="B262">
        <v>1</v>
      </c>
    </row>
    <row r="264" spans="1:5" x14ac:dyDescent="0.25">
      <c r="A264" t="s">
        <v>130</v>
      </c>
    </row>
    <row r="265" spans="1:5" x14ac:dyDescent="0.25">
      <c r="A265" t="s">
        <v>71</v>
      </c>
      <c r="B265" t="s">
        <v>131</v>
      </c>
    </row>
    <row r="266" spans="1:5" x14ac:dyDescent="0.25">
      <c r="A266" t="s">
        <v>68</v>
      </c>
      <c r="B266" t="s">
        <v>58</v>
      </c>
    </row>
    <row r="267" spans="1:5" x14ac:dyDescent="0.25">
      <c r="A267" t="s">
        <v>132</v>
      </c>
      <c r="B267">
        <v>10</v>
      </c>
    </row>
    <row r="268" spans="1:5" x14ac:dyDescent="0.25">
      <c r="A268" t="s">
        <v>133</v>
      </c>
      <c r="B268">
        <v>4</v>
      </c>
    </row>
    <row r="269" spans="1:5" x14ac:dyDescent="0.25">
      <c r="A269" t="s">
        <v>75</v>
      </c>
      <c r="B269">
        <v>4</v>
      </c>
    </row>
    <row r="270" spans="1:5" x14ac:dyDescent="0.25">
      <c r="B270">
        <v>715600</v>
      </c>
      <c r="C270">
        <v>249400</v>
      </c>
    </row>
    <row r="271" spans="1:5" x14ac:dyDescent="0.25">
      <c r="B271">
        <v>717600</v>
      </c>
      <c r="C271">
        <v>249400</v>
      </c>
    </row>
    <row r="272" spans="1:5" x14ac:dyDescent="0.25">
      <c r="B272">
        <v>717600</v>
      </c>
      <c r="C272">
        <v>247400</v>
      </c>
    </row>
    <row r="273" spans="1:3" x14ac:dyDescent="0.25">
      <c r="B273">
        <v>715600</v>
      </c>
      <c r="C273">
        <v>247400</v>
      </c>
    </row>
    <row r="276" spans="1:3" x14ac:dyDescent="0.25">
      <c r="A276" t="s">
        <v>134</v>
      </c>
    </row>
    <row r="277" spans="1:3" x14ac:dyDescent="0.25">
      <c r="A277" t="s">
        <v>53</v>
      </c>
      <c r="B277">
        <v>15</v>
      </c>
    </row>
    <row r="279" spans="1:3" x14ac:dyDescent="0.25">
      <c r="A279" t="s">
        <v>135</v>
      </c>
    </row>
    <row r="280" spans="1:3" x14ac:dyDescent="0.25">
      <c r="A280" t="s">
        <v>71</v>
      </c>
      <c r="B280" t="s">
        <v>136</v>
      </c>
    </row>
    <row r="281" spans="1:3" x14ac:dyDescent="0.25">
      <c r="A281" t="s">
        <v>68</v>
      </c>
      <c r="B281" t="s">
        <v>58</v>
      </c>
    </row>
    <row r="282" spans="1:3" x14ac:dyDescent="0.25">
      <c r="A282" t="s">
        <v>137</v>
      </c>
      <c r="B282" t="s">
        <v>138</v>
      </c>
    </row>
    <row r="283" spans="1:3" x14ac:dyDescent="0.25">
      <c r="A283" t="s">
        <v>139</v>
      </c>
      <c r="B283">
        <v>249.65</v>
      </c>
    </row>
    <row r="284" spans="1:3" x14ac:dyDescent="0.25">
      <c r="A284" t="s">
        <v>140</v>
      </c>
      <c r="B284">
        <v>0.1021</v>
      </c>
    </row>
    <row r="285" spans="1:3" x14ac:dyDescent="0.25">
      <c r="A285" t="s">
        <v>141</v>
      </c>
      <c r="B285">
        <v>6.7799999999999999E-2</v>
      </c>
    </row>
    <row r="286" spans="1:3" x14ac:dyDescent="0.25">
      <c r="A286" t="s">
        <v>142</v>
      </c>
      <c r="B286">
        <v>0</v>
      </c>
    </row>
    <row r="287" spans="1:3" x14ac:dyDescent="0.25">
      <c r="A287" t="s">
        <v>143</v>
      </c>
      <c r="B287">
        <v>4.46</v>
      </c>
    </row>
    <row r="288" spans="1:3" x14ac:dyDescent="0.25">
      <c r="A288" t="s">
        <v>144</v>
      </c>
      <c r="B288">
        <v>84.24</v>
      </c>
    </row>
    <row r="290" spans="1:2" x14ac:dyDescent="0.25">
      <c r="A290" t="s">
        <v>135</v>
      </c>
    </row>
    <row r="291" spans="1:2" x14ac:dyDescent="0.25">
      <c r="A291" t="s">
        <v>71</v>
      </c>
      <c r="B291" t="s">
        <v>145</v>
      </c>
    </row>
    <row r="292" spans="1:2" x14ac:dyDescent="0.25">
      <c r="A292" t="s">
        <v>68</v>
      </c>
      <c r="B292" t="s">
        <v>58</v>
      </c>
    </row>
    <row r="293" spans="1:2" x14ac:dyDescent="0.25">
      <c r="A293" t="s">
        <v>137</v>
      </c>
      <c r="B293" t="s">
        <v>146</v>
      </c>
    </row>
    <row r="294" spans="1:2" x14ac:dyDescent="0.25">
      <c r="A294" t="s">
        <v>139</v>
      </c>
      <c r="B294">
        <v>234.89999</v>
      </c>
    </row>
    <row r="295" spans="1:2" x14ac:dyDescent="0.25">
      <c r="A295" t="s">
        <v>140</v>
      </c>
      <c r="B295">
        <v>6.3399999999999998E-2</v>
      </c>
    </row>
    <row r="296" spans="1:2" x14ac:dyDescent="0.25">
      <c r="A296" t="s">
        <v>141</v>
      </c>
      <c r="B296">
        <v>0</v>
      </c>
    </row>
    <row r="297" spans="1:2" x14ac:dyDescent="0.25">
      <c r="A297" t="s">
        <v>142</v>
      </c>
      <c r="B297">
        <v>0</v>
      </c>
    </row>
    <row r="298" spans="1:2" x14ac:dyDescent="0.25">
      <c r="A298" t="s">
        <v>143</v>
      </c>
      <c r="B298">
        <v>14.19</v>
      </c>
    </row>
    <row r="299" spans="1:2" x14ac:dyDescent="0.25">
      <c r="A299" t="s">
        <v>144</v>
      </c>
      <c r="B299">
        <v>63.59</v>
      </c>
    </row>
    <row r="301" spans="1:2" x14ac:dyDescent="0.25">
      <c r="A301" t="s">
        <v>135</v>
      </c>
    </row>
    <row r="302" spans="1:2" x14ac:dyDescent="0.25">
      <c r="A302" t="s">
        <v>71</v>
      </c>
      <c r="B302" t="s">
        <v>147</v>
      </c>
    </row>
    <row r="303" spans="1:2" x14ac:dyDescent="0.25">
      <c r="A303" t="s">
        <v>68</v>
      </c>
      <c r="B303" t="s">
        <v>58</v>
      </c>
    </row>
    <row r="304" spans="1:2" x14ac:dyDescent="0.25">
      <c r="A304" t="s">
        <v>137</v>
      </c>
      <c r="B304" t="s">
        <v>148</v>
      </c>
    </row>
    <row r="305" spans="1:2" x14ac:dyDescent="0.25">
      <c r="A305" t="s">
        <v>139</v>
      </c>
      <c r="B305">
        <v>60.5</v>
      </c>
    </row>
    <row r="306" spans="1:2" x14ac:dyDescent="0.25">
      <c r="A306" t="s">
        <v>140</v>
      </c>
      <c r="B306">
        <v>4.4500000999999997E-2</v>
      </c>
    </row>
    <row r="307" spans="1:2" x14ac:dyDescent="0.25">
      <c r="A307" t="s">
        <v>141</v>
      </c>
      <c r="B307">
        <v>3.2200000999999999E-2</v>
      </c>
    </row>
    <row r="308" spans="1:2" x14ac:dyDescent="0.25">
      <c r="A308" t="s">
        <v>142</v>
      </c>
      <c r="B308">
        <v>0</v>
      </c>
    </row>
    <row r="309" spans="1:2" x14ac:dyDescent="0.25">
      <c r="A309" t="s">
        <v>143</v>
      </c>
      <c r="B309">
        <v>6.1700001000000002</v>
      </c>
    </row>
    <row r="310" spans="1:2" x14ac:dyDescent="0.25">
      <c r="A310" t="s">
        <v>144</v>
      </c>
      <c r="B310">
        <v>84.269997000000004</v>
      </c>
    </row>
    <row r="312" spans="1:2" x14ac:dyDescent="0.25">
      <c r="A312" t="s">
        <v>135</v>
      </c>
    </row>
    <row r="313" spans="1:2" x14ac:dyDescent="0.25">
      <c r="A313" t="s">
        <v>71</v>
      </c>
      <c r="B313" t="s">
        <v>149</v>
      </c>
    </row>
    <row r="314" spans="1:2" x14ac:dyDescent="0.25">
      <c r="A314" t="s">
        <v>68</v>
      </c>
      <c r="B314" t="s">
        <v>58</v>
      </c>
    </row>
    <row r="315" spans="1:2" x14ac:dyDescent="0.25">
      <c r="A315" t="s">
        <v>137</v>
      </c>
      <c r="B315" t="s">
        <v>148</v>
      </c>
    </row>
    <row r="316" spans="1:2" x14ac:dyDescent="0.25">
      <c r="A316" t="s">
        <v>139</v>
      </c>
      <c r="B316">
        <v>216.45</v>
      </c>
    </row>
    <row r="317" spans="1:2" x14ac:dyDescent="0.25">
      <c r="A317" t="s">
        <v>140</v>
      </c>
      <c r="B317">
        <v>4.2100000999999998E-2</v>
      </c>
    </row>
    <row r="318" spans="1:2" x14ac:dyDescent="0.25">
      <c r="A318" t="s">
        <v>141</v>
      </c>
      <c r="B318">
        <v>2.8799999999999999E-2</v>
      </c>
    </row>
    <row r="319" spans="1:2" x14ac:dyDescent="0.25">
      <c r="A319" t="s">
        <v>142</v>
      </c>
      <c r="B319">
        <v>0</v>
      </c>
    </row>
    <row r="320" spans="1:2" x14ac:dyDescent="0.25">
      <c r="A320" t="s">
        <v>143</v>
      </c>
      <c r="B320">
        <v>6.1700001000000002</v>
      </c>
    </row>
    <row r="321" spans="1:2" x14ac:dyDescent="0.25">
      <c r="A321" t="s">
        <v>144</v>
      </c>
      <c r="B321">
        <v>84.269997000000004</v>
      </c>
    </row>
    <row r="323" spans="1:2" x14ac:dyDescent="0.25">
      <c r="A323" t="s">
        <v>135</v>
      </c>
    </row>
    <row r="324" spans="1:2" x14ac:dyDescent="0.25">
      <c r="A324" t="s">
        <v>71</v>
      </c>
      <c r="B324" t="s">
        <v>150</v>
      </c>
    </row>
    <row r="325" spans="1:2" x14ac:dyDescent="0.25">
      <c r="A325" t="s">
        <v>68</v>
      </c>
      <c r="B325" t="s">
        <v>58</v>
      </c>
    </row>
    <row r="326" spans="1:2" x14ac:dyDescent="0.25">
      <c r="A326" t="s">
        <v>137</v>
      </c>
      <c r="B326" t="s">
        <v>146</v>
      </c>
    </row>
    <row r="327" spans="1:2" x14ac:dyDescent="0.25">
      <c r="A327" t="s">
        <v>139</v>
      </c>
      <c r="B327">
        <v>272.5</v>
      </c>
    </row>
    <row r="328" spans="1:2" x14ac:dyDescent="0.25">
      <c r="A328" t="s">
        <v>140</v>
      </c>
      <c r="B328">
        <v>4.5499998999999999E-2</v>
      </c>
    </row>
    <row r="329" spans="1:2" x14ac:dyDescent="0.25">
      <c r="A329" t="s">
        <v>141</v>
      </c>
      <c r="B329">
        <v>0</v>
      </c>
    </row>
    <row r="330" spans="1:2" x14ac:dyDescent="0.25">
      <c r="A330" t="s">
        <v>142</v>
      </c>
      <c r="B330">
        <v>0</v>
      </c>
    </row>
    <row r="331" spans="1:2" x14ac:dyDescent="0.25">
      <c r="A331" t="s">
        <v>143</v>
      </c>
      <c r="B331">
        <v>14.19</v>
      </c>
    </row>
    <row r="332" spans="1:2" x14ac:dyDescent="0.25">
      <c r="A332" t="s">
        <v>144</v>
      </c>
      <c r="B332">
        <v>63.59</v>
      </c>
    </row>
    <row r="334" spans="1:2" x14ac:dyDescent="0.25">
      <c r="A334" t="s">
        <v>135</v>
      </c>
    </row>
    <row r="335" spans="1:2" x14ac:dyDescent="0.25">
      <c r="A335" t="s">
        <v>71</v>
      </c>
      <c r="B335" t="s">
        <v>151</v>
      </c>
    </row>
    <row r="336" spans="1:2" x14ac:dyDescent="0.25">
      <c r="A336" t="s">
        <v>68</v>
      </c>
      <c r="B336" t="s">
        <v>58</v>
      </c>
    </row>
    <row r="337" spans="1:2" x14ac:dyDescent="0.25">
      <c r="A337" t="s">
        <v>137</v>
      </c>
      <c r="B337" t="s">
        <v>152</v>
      </c>
    </row>
    <row r="338" spans="1:2" x14ac:dyDescent="0.25">
      <c r="A338" t="s">
        <v>139</v>
      </c>
      <c r="B338">
        <v>261.10001</v>
      </c>
    </row>
    <row r="339" spans="1:2" x14ac:dyDescent="0.25">
      <c r="A339" t="s">
        <v>140</v>
      </c>
      <c r="B339">
        <v>4.5499998999999999E-2</v>
      </c>
    </row>
    <row r="340" spans="1:2" x14ac:dyDescent="0.25">
      <c r="A340" t="s">
        <v>141</v>
      </c>
      <c r="B340">
        <v>0</v>
      </c>
    </row>
    <row r="341" spans="1:2" x14ac:dyDescent="0.25">
      <c r="A341" t="s">
        <v>142</v>
      </c>
      <c r="B341">
        <v>0</v>
      </c>
    </row>
    <row r="342" spans="1:2" x14ac:dyDescent="0.25">
      <c r="A342" t="s">
        <v>143</v>
      </c>
      <c r="B342">
        <v>11.83</v>
      </c>
    </row>
    <row r="343" spans="1:2" x14ac:dyDescent="0.25">
      <c r="A343" t="s">
        <v>144</v>
      </c>
      <c r="B343">
        <v>62.32</v>
      </c>
    </row>
    <row r="345" spans="1:2" x14ac:dyDescent="0.25">
      <c r="A345" t="s">
        <v>135</v>
      </c>
    </row>
    <row r="346" spans="1:2" x14ac:dyDescent="0.25">
      <c r="A346" t="s">
        <v>71</v>
      </c>
      <c r="B346" t="s">
        <v>153</v>
      </c>
    </row>
    <row r="347" spans="1:2" x14ac:dyDescent="0.25">
      <c r="A347" t="s">
        <v>68</v>
      </c>
      <c r="B347" t="s">
        <v>58</v>
      </c>
    </row>
    <row r="348" spans="1:2" x14ac:dyDescent="0.25">
      <c r="A348" t="s">
        <v>137</v>
      </c>
      <c r="B348" t="s">
        <v>154</v>
      </c>
    </row>
    <row r="349" spans="1:2" x14ac:dyDescent="0.25">
      <c r="A349" t="s">
        <v>139</v>
      </c>
      <c r="B349">
        <v>225.64999</v>
      </c>
    </row>
    <row r="350" spans="1:2" x14ac:dyDescent="0.25">
      <c r="A350" t="s">
        <v>140</v>
      </c>
      <c r="B350">
        <v>8.2000000000000007E-3</v>
      </c>
    </row>
    <row r="351" spans="1:2" x14ac:dyDescent="0.25">
      <c r="A351" t="s">
        <v>141</v>
      </c>
      <c r="B351">
        <v>0.1116</v>
      </c>
    </row>
    <row r="352" spans="1:2" x14ac:dyDescent="0.25">
      <c r="A352" t="s">
        <v>142</v>
      </c>
      <c r="B352">
        <v>0</v>
      </c>
    </row>
    <row r="353" spans="1:2" x14ac:dyDescent="0.25">
      <c r="A353" t="s">
        <v>143</v>
      </c>
      <c r="B353">
        <v>6.5</v>
      </c>
    </row>
    <row r="354" spans="1:2" x14ac:dyDescent="0.25">
      <c r="A354" t="s">
        <v>144</v>
      </c>
      <c r="B354">
        <v>74.800003000000004</v>
      </c>
    </row>
    <row r="356" spans="1:2" x14ac:dyDescent="0.25">
      <c r="A356" t="s">
        <v>135</v>
      </c>
    </row>
    <row r="357" spans="1:2" x14ac:dyDescent="0.25">
      <c r="A357" t="s">
        <v>71</v>
      </c>
      <c r="B357" t="s">
        <v>155</v>
      </c>
    </row>
    <row r="358" spans="1:2" x14ac:dyDescent="0.25">
      <c r="A358" t="s">
        <v>68</v>
      </c>
      <c r="B358" t="s">
        <v>58</v>
      </c>
    </row>
    <row r="359" spans="1:2" x14ac:dyDescent="0.25">
      <c r="A359" t="s">
        <v>137</v>
      </c>
      <c r="B359" t="s">
        <v>156</v>
      </c>
    </row>
    <row r="360" spans="1:2" x14ac:dyDescent="0.25">
      <c r="A360" t="s">
        <v>139</v>
      </c>
      <c r="B360">
        <v>0</v>
      </c>
    </row>
    <row r="361" spans="1:2" x14ac:dyDescent="0.25">
      <c r="A361" t="s">
        <v>140</v>
      </c>
      <c r="B361">
        <v>1.37E-2</v>
      </c>
    </row>
    <row r="362" spans="1:2" x14ac:dyDescent="0.25">
      <c r="A362" t="s">
        <v>141</v>
      </c>
      <c r="B362">
        <v>8.2199997999999996E-2</v>
      </c>
    </row>
    <row r="363" spans="1:2" x14ac:dyDescent="0.25">
      <c r="A363" t="s">
        <v>142</v>
      </c>
      <c r="B363">
        <v>0</v>
      </c>
    </row>
    <row r="364" spans="1:2" x14ac:dyDescent="0.25">
      <c r="A364" t="s">
        <v>143</v>
      </c>
      <c r="B364">
        <v>5.5900002000000004</v>
      </c>
    </row>
    <row r="365" spans="1:2" x14ac:dyDescent="0.25">
      <c r="A365" t="s">
        <v>144</v>
      </c>
      <c r="B365">
        <v>72.199996999999996</v>
      </c>
    </row>
    <row r="367" spans="1:2" x14ac:dyDescent="0.25">
      <c r="A367" t="s">
        <v>135</v>
      </c>
    </row>
    <row r="368" spans="1:2" x14ac:dyDescent="0.25">
      <c r="A368" t="s">
        <v>71</v>
      </c>
      <c r="B368" t="s">
        <v>157</v>
      </c>
    </row>
    <row r="369" spans="1:2" x14ac:dyDescent="0.25">
      <c r="A369" t="s">
        <v>68</v>
      </c>
      <c r="B369" t="s">
        <v>58</v>
      </c>
    </row>
    <row r="370" spans="1:2" x14ac:dyDescent="0.25">
      <c r="A370" t="s">
        <v>137</v>
      </c>
      <c r="B370" t="s">
        <v>158</v>
      </c>
    </row>
    <row r="371" spans="1:2" x14ac:dyDescent="0.25">
      <c r="A371" t="s">
        <v>139</v>
      </c>
      <c r="B371">
        <v>239.3</v>
      </c>
    </row>
    <row r="372" spans="1:2" x14ac:dyDescent="0.25">
      <c r="A372" t="s">
        <v>140</v>
      </c>
      <c r="B372">
        <v>3.9399999999999998E-2</v>
      </c>
    </row>
    <row r="373" spans="1:2" x14ac:dyDescent="0.25">
      <c r="A373" t="s">
        <v>141</v>
      </c>
      <c r="B373">
        <v>0</v>
      </c>
    </row>
    <row r="374" spans="1:2" x14ac:dyDescent="0.25">
      <c r="A374" t="s">
        <v>142</v>
      </c>
      <c r="B374">
        <v>0</v>
      </c>
    </row>
    <row r="375" spans="1:2" x14ac:dyDescent="0.25">
      <c r="A375" t="s">
        <v>143</v>
      </c>
      <c r="B375">
        <v>14.93</v>
      </c>
    </row>
    <row r="376" spans="1:2" x14ac:dyDescent="0.25">
      <c r="A376" t="s">
        <v>144</v>
      </c>
      <c r="B376">
        <v>62.540000999999997</v>
      </c>
    </row>
    <row r="378" spans="1:2" x14ac:dyDescent="0.25">
      <c r="A378" t="s">
        <v>135</v>
      </c>
    </row>
    <row r="379" spans="1:2" x14ac:dyDescent="0.25">
      <c r="A379" t="s">
        <v>71</v>
      </c>
      <c r="B379" t="s">
        <v>159</v>
      </c>
    </row>
    <row r="380" spans="1:2" x14ac:dyDescent="0.25">
      <c r="A380" t="s">
        <v>68</v>
      </c>
      <c r="B380" t="s">
        <v>58</v>
      </c>
    </row>
    <row r="381" spans="1:2" x14ac:dyDescent="0.25">
      <c r="A381" t="s">
        <v>137</v>
      </c>
      <c r="B381" t="s">
        <v>158</v>
      </c>
    </row>
    <row r="382" spans="1:2" x14ac:dyDescent="0.25">
      <c r="A382" t="s">
        <v>139</v>
      </c>
      <c r="B382">
        <v>51.900002000000001</v>
      </c>
    </row>
    <row r="383" spans="1:2" x14ac:dyDescent="0.25">
      <c r="A383" t="s">
        <v>140</v>
      </c>
      <c r="B383">
        <v>3.8699998999999999E-2</v>
      </c>
    </row>
    <row r="384" spans="1:2" x14ac:dyDescent="0.25">
      <c r="A384" t="s">
        <v>141</v>
      </c>
      <c r="B384">
        <v>0</v>
      </c>
    </row>
    <row r="385" spans="1:2" x14ac:dyDescent="0.25">
      <c r="A385" t="s">
        <v>142</v>
      </c>
      <c r="B385">
        <v>0</v>
      </c>
    </row>
    <row r="386" spans="1:2" x14ac:dyDescent="0.25">
      <c r="A386" t="s">
        <v>143</v>
      </c>
      <c r="B386">
        <v>14.93</v>
      </c>
    </row>
    <row r="387" spans="1:2" x14ac:dyDescent="0.25">
      <c r="A387" t="s">
        <v>144</v>
      </c>
      <c r="B387">
        <v>62.540000999999997</v>
      </c>
    </row>
    <row r="389" spans="1:2" x14ac:dyDescent="0.25">
      <c r="A389" t="s">
        <v>135</v>
      </c>
    </row>
    <row r="390" spans="1:2" x14ac:dyDescent="0.25">
      <c r="A390" t="s">
        <v>71</v>
      </c>
      <c r="B390" t="s">
        <v>160</v>
      </c>
    </row>
    <row r="391" spans="1:2" x14ac:dyDescent="0.25">
      <c r="A391" t="s">
        <v>68</v>
      </c>
      <c r="B391" t="s">
        <v>58</v>
      </c>
    </row>
    <row r="392" spans="1:2" x14ac:dyDescent="0.25">
      <c r="A392" t="s">
        <v>137</v>
      </c>
      <c r="B392" t="s">
        <v>146</v>
      </c>
    </row>
    <row r="393" spans="1:2" x14ac:dyDescent="0.25">
      <c r="A393" t="s">
        <v>139</v>
      </c>
      <c r="B393">
        <v>55.799999</v>
      </c>
    </row>
    <row r="394" spans="1:2" x14ac:dyDescent="0.25">
      <c r="A394" t="s">
        <v>140</v>
      </c>
      <c r="B394">
        <v>3.8699998999999999E-2</v>
      </c>
    </row>
    <row r="395" spans="1:2" x14ac:dyDescent="0.25">
      <c r="A395" t="s">
        <v>141</v>
      </c>
      <c r="B395">
        <v>0</v>
      </c>
    </row>
    <row r="396" spans="1:2" x14ac:dyDescent="0.25">
      <c r="A396" t="s">
        <v>142</v>
      </c>
      <c r="B396">
        <v>0</v>
      </c>
    </row>
    <row r="397" spans="1:2" x14ac:dyDescent="0.25">
      <c r="A397" t="s">
        <v>143</v>
      </c>
      <c r="B397">
        <v>14.19</v>
      </c>
    </row>
    <row r="398" spans="1:2" x14ac:dyDescent="0.25">
      <c r="A398" t="s">
        <v>144</v>
      </c>
      <c r="B398">
        <v>63.59</v>
      </c>
    </row>
    <row r="400" spans="1:2" x14ac:dyDescent="0.25">
      <c r="A400" t="s">
        <v>135</v>
      </c>
    </row>
    <row r="401" spans="1:2" x14ac:dyDescent="0.25">
      <c r="A401" t="s">
        <v>71</v>
      </c>
      <c r="B401" t="s">
        <v>161</v>
      </c>
    </row>
    <row r="402" spans="1:2" x14ac:dyDescent="0.25">
      <c r="A402" t="s">
        <v>68</v>
      </c>
      <c r="B402" t="s">
        <v>58</v>
      </c>
    </row>
    <row r="403" spans="1:2" x14ac:dyDescent="0.25">
      <c r="A403" t="s">
        <v>137</v>
      </c>
      <c r="B403" t="s">
        <v>162</v>
      </c>
    </row>
    <row r="404" spans="1:2" x14ac:dyDescent="0.25">
      <c r="A404" t="s">
        <v>139</v>
      </c>
      <c r="B404">
        <v>261.70001000000002</v>
      </c>
    </row>
    <row r="405" spans="1:2" x14ac:dyDescent="0.25">
      <c r="A405" t="s">
        <v>140</v>
      </c>
      <c r="B405">
        <v>3.5999997999999998E-2</v>
      </c>
    </row>
    <row r="406" spans="1:2" x14ac:dyDescent="0.25">
      <c r="A406" t="s">
        <v>141</v>
      </c>
      <c r="B406">
        <v>0</v>
      </c>
    </row>
    <row r="407" spans="1:2" x14ac:dyDescent="0.25">
      <c r="A407" t="s">
        <v>142</v>
      </c>
      <c r="B407">
        <v>0</v>
      </c>
    </row>
    <row r="408" spans="1:2" x14ac:dyDescent="0.25">
      <c r="A408" t="s">
        <v>143</v>
      </c>
      <c r="B408">
        <v>15.81</v>
      </c>
    </row>
    <row r="409" spans="1:2" x14ac:dyDescent="0.25">
      <c r="A409" t="s">
        <v>144</v>
      </c>
      <c r="B409">
        <v>63.610000999999997</v>
      </c>
    </row>
    <row r="411" spans="1:2" x14ac:dyDescent="0.25">
      <c r="A411" t="s">
        <v>135</v>
      </c>
    </row>
    <row r="412" spans="1:2" x14ac:dyDescent="0.25">
      <c r="A412" t="s">
        <v>71</v>
      </c>
      <c r="B412" t="s">
        <v>163</v>
      </c>
    </row>
    <row r="413" spans="1:2" x14ac:dyDescent="0.25">
      <c r="A413" t="s">
        <v>68</v>
      </c>
      <c r="B413" t="s">
        <v>58</v>
      </c>
    </row>
    <row r="414" spans="1:2" x14ac:dyDescent="0.25">
      <c r="A414" t="s">
        <v>137</v>
      </c>
      <c r="B414" t="s">
        <v>148</v>
      </c>
    </row>
    <row r="415" spans="1:2" x14ac:dyDescent="0.25">
      <c r="A415" t="s">
        <v>139</v>
      </c>
      <c r="B415">
        <v>263.89999</v>
      </c>
    </row>
    <row r="416" spans="1:2" x14ac:dyDescent="0.25">
      <c r="A416" t="s">
        <v>140</v>
      </c>
      <c r="B416">
        <v>3.5599999E-2</v>
      </c>
    </row>
    <row r="417" spans="1:2" x14ac:dyDescent="0.25">
      <c r="A417" t="s">
        <v>141</v>
      </c>
      <c r="B417">
        <v>0</v>
      </c>
    </row>
    <row r="418" spans="1:2" x14ac:dyDescent="0.25">
      <c r="A418" t="s">
        <v>142</v>
      </c>
      <c r="B418">
        <v>0</v>
      </c>
    </row>
    <row r="419" spans="1:2" x14ac:dyDescent="0.25">
      <c r="A419" t="s">
        <v>143</v>
      </c>
      <c r="B419">
        <v>6.1700001000000002</v>
      </c>
    </row>
    <row r="420" spans="1:2" x14ac:dyDescent="0.25">
      <c r="A420" t="s">
        <v>144</v>
      </c>
      <c r="B420">
        <v>84.269997000000004</v>
      </c>
    </row>
    <row r="422" spans="1:2" x14ac:dyDescent="0.25">
      <c r="A422" t="s">
        <v>135</v>
      </c>
    </row>
    <row r="423" spans="1:2" x14ac:dyDescent="0.25">
      <c r="A423" t="s">
        <v>71</v>
      </c>
      <c r="B423" t="s">
        <v>164</v>
      </c>
    </row>
    <row r="424" spans="1:2" x14ac:dyDescent="0.25">
      <c r="A424" t="s">
        <v>68</v>
      </c>
      <c r="B424" t="s">
        <v>58</v>
      </c>
    </row>
    <row r="425" spans="1:2" x14ac:dyDescent="0.25">
      <c r="A425" t="s">
        <v>137</v>
      </c>
      <c r="B425" t="s">
        <v>162</v>
      </c>
    </row>
    <row r="426" spans="1:2" x14ac:dyDescent="0.25">
      <c r="A426" t="s">
        <v>139</v>
      </c>
      <c r="B426">
        <v>49.799999</v>
      </c>
    </row>
    <row r="427" spans="1:2" x14ac:dyDescent="0.25">
      <c r="A427" t="s">
        <v>140</v>
      </c>
      <c r="B427">
        <v>3.5300001999999997E-2</v>
      </c>
    </row>
    <row r="428" spans="1:2" x14ac:dyDescent="0.25">
      <c r="A428" t="s">
        <v>141</v>
      </c>
      <c r="B428">
        <v>0</v>
      </c>
    </row>
    <row r="429" spans="1:2" x14ac:dyDescent="0.25">
      <c r="A429" t="s">
        <v>142</v>
      </c>
      <c r="B429">
        <v>0</v>
      </c>
    </row>
    <row r="430" spans="1:2" x14ac:dyDescent="0.25">
      <c r="A430" t="s">
        <v>143</v>
      </c>
      <c r="B430">
        <v>15.81</v>
      </c>
    </row>
    <row r="431" spans="1:2" x14ac:dyDescent="0.25">
      <c r="A431" t="s">
        <v>144</v>
      </c>
      <c r="B431">
        <v>63.610000999999997</v>
      </c>
    </row>
    <row r="433" spans="1:2" x14ac:dyDescent="0.25">
      <c r="A433" t="s">
        <v>135</v>
      </c>
    </row>
    <row r="434" spans="1:2" x14ac:dyDescent="0.25">
      <c r="A434" t="s">
        <v>71</v>
      </c>
      <c r="B434" t="s">
        <v>165</v>
      </c>
    </row>
    <row r="435" spans="1:2" x14ac:dyDescent="0.25">
      <c r="A435" t="s">
        <v>68</v>
      </c>
      <c r="B435" t="s">
        <v>58</v>
      </c>
    </row>
    <row r="436" spans="1:2" x14ac:dyDescent="0.25">
      <c r="A436" t="s">
        <v>137</v>
      </c>
      <c r="B436" t="s">
        <v>166</v>
      </c>
    </row>
    <row r="437" spans="1:2" x14ac:dyDescent="0.25">
      <c r="A437" t="s">
        <v>139</v>
      </c>
      <c r="B437">
        <v>251.5</v>
      </c>
    </row>
    <row r="438" spans="1:2" x14ac:dyDescent="0.25">
      <c r="A438" t="s">
        <v>140</v>
      </c>
      <c r="B438">
        <v>2.8400000000000002E-2</v>
      </c>
    </row>
    <row r="439" spans="1:2" x14ac:dyDescent="0.25">
      <c r="A439" t="s">
        <v>141</v>
      </c>
      <c r="B439">
        <v>1.78E-2</v>
      </c>
    </row>
    <row r="440" spans="1:2" x14ac:dyDescent="0.25">
      <c r="A440" t="s">
        <v>142</v>
      </c>
      <c r="B440">
        <v>0</v>
      </c>
    </row>
    <row r="441" spans="1:2" x14ac:dyDescent="0.25">
      <c r="A441" t="s">
        <v>143</v>
      </c>
      <c r="B441">
        <v>6.33</v>
      </c>
    </row>
    <row r="442" spans="1:2" x14ac:dyDescent="0.25">
      <c r="A442" t="s">
        <v>144</v>
      </c>
      <c r="B442">
        <v>85.11</v>
      </c>
    </row>
    <row r="447" spans="1:2" x14ac:dyDescent="0.25">
      <c r="A447" t="s">
        <v>0</v>
      </c>
    </row>
    <row r="448" spans="1:2" x14ac:dyDescent="0.25">
      <c r="A448" t="s">
        <v>372</v>
      </c>
    </row>
    <row r="449" spans="1:1" x14ac:dyDescent="0.25">
      <c r="A449" t="s">
        <v>0</v>
      </c>
    </row>
    <row r="450" spans="1:1" x14ac:dyDescent="0.25">
      <c r="A450" t="s">
        <v>167</v>
      </c>
    </row>
    <row r="451" spans="1:1" x14ac:dyDescent="0.25">
      <c r="A451" t="s">
        <v>168</v>
      </c>
    </row>
    <row r="452" spans="1:1" x14ac:dyDescent="0.25">
      <c r="A452" t="s">
        <v>169</v>
      </c>
    </row>
    <row r="453" spans="1:1" x14ac:dyDescent="0.25">
      <c r="A453" t="s">
        <v>170</v>
      </c>
    </row>
    <row r="454" spans="1:1" x14ac:dyDescent="0.25">
      <c r="A454" t="s">
        <v>171</v>
      </c>
    </row>
    <row r="455" spans="1:1" x14ac:dyDescent="0.25">
      <c r="A455" t="s">
        <v>169</v>
      </c>
    </row>
    <row r="456" spans="1:1" x14ac:dyDescent="0.25">
      <c r="A456" t="s">
        <v>172</v>
      </c>
    </row>
    <row r="458" spans="1:1" x14ac:dyDescent="0.25">
      <c r="A458" t="s">
        <v>173</v>
      </c>
    </row>
    <row r="459" spans="1:1" x14ac:dyDescent="0.25">
      <c r="A459" t="s">
        <v>174</v>
      </c>
    </row>
    <row r="460" spans="1:1" x14ac:dyDescent="0.25">
      <c r="A460" t="s">
        <v>175</v>
      </c>
    </row>
    <row r="461" spans="1:1" x14ac:dyDescent="0.25">
      <c r="A461" t="s">
        <v>176</v>
      </c>
    </row>
    <row r="462" spans="1:1" x14ac:dyDescent="0.25">
      <c r="A462" t="s">
        <v>177</v>
      </c>
    </row>
    <row r="463" spans="1:1" x14ac:dyDescent="0.25">
      <c r="A463" t="s">
        <v>178</v>
      </c>
    </row>
    <row r="464" spans="1:1" x14ac:dyDescent="0.25">
      <c r="A464" t="s">
        <v>179</v>
      </c>
    </row>
    <row r="465" spans="1:1" x14ac:dyDescent="0.25">
      <c r="A465" t="s">
        <v>180</v>
      </c>
    </row>
    <row r="466" spans="1:1" x14ac:dyDescent="0.25">
      <c r="A466" t="s">
        <v>181</v>
      </c>
    </row>
    <row r="467" spans="1:1" x14ac:dyDescent="0.25">
      <c r="A467" t="s">
        <v>182</v>
      </c>
    </row>
    <row r="469" spans="1:1" x14ac:dyDescent="0.25">
      <c r="A469" t="s">
        <v>183</v>
      </c>
    </row>
    <row r="471" spans="1:1" x14ac:dyDescent="0.25">
      <c r="A471" t="s">
        <v>184</v>
      </c>
    </row>
    <row r="472" spans="1:1" x14ac:dyDescent="0.25">
      <c r="A472" t="s">
        <v>185</v>
      </c>
    </row>
    <row r="473" spans="1:1" x14ac:dyDescent="0.25">
      <c r="A473" t="s">
        <v>186</v>
      </c>
    </row>
    <row r="475" spans="1:1" x14ac:dyDescent="0.25">
      <c r="A475" t="s">
        <v>187</v>
      </c>
    </row>
    <row r="476" spans="1:1" x14ac:dyDescent="0.25">
      <c r="A476" t="s">
        <v>49</v>
      </c>
    </row>
    <row r="477" spans="1:1" x14ac:dyDescent="0.25">
      <c r="A477" t="s">
        <v>188</v>
      </c>
    </row>
    <row r="478" spans="1:1" x14ac:dyDescent="0.25">
      <c r="A478" t="s">
        <v>189</v>
      </c>
    </row>
    <row r="480" spans="1:1" x14ac:dyDescent="0.25">
      <c r="A480" t="s">
        <v>190</v>
      </c>
    </row>
    <row r="481" spans="1:1" x14ac:dyDescent="0.25">
      <c r="A481" t="s">
        <v>191</v>
      </c>
    </row>
    <row r="482" spans="1:1" x14ac:dyDescent="0.25">
      <c r="A482" t="s">
        <v>192</v>
      </c>
    </row>
    <row r="483" spans="1:1" x14ac:dyDescent="0.25">
      <c r="A483" t="s">
        <v>193</v>
      </c>
    </row>
    <row r="484" spans="1:1" x14ac:dyDescent="0.25">
      <c r="A484" t="s">
        <v>194</v>
      </c>
    </row>
    <row r="485" spans="1:1" x14ac:dyDescent="0.25">
      <c r="A485" t="s">
        <v>195</v>
      </c>
    </row>
    <row r="486" spans="1:1" x14ac:dyDescent="0.25">
      <c r="A486" t="s">
        <v>196</v>
      </c>
    </row>
    <row r="489" spans="1:1" x14ac:dyDescent="0.25">
      <c r="A489" t="s">
        <v>197</v>
      </c>
    </row>
    <row r="490" spans="1:1" x14ac:dyDescent="0.25">
      <c r="A490" t="s">
        <v>198</v>
      </c>
    </row>
    <row r="491" spans="1:1" x14ac:dyDescent="0.25">
      <c r="A491" t="s">
        <v>199</v>
      </c>
    </row>
    <row r="496" spans="1:1" x14ac:dyDescent="0.25">
      <c r="A496" t="s">
        <v>0</v>
      </c>
    </row>
    <row r="497" spans="1:1" x14ac:dyDescent="0.25">
      <c r="A497" t="s">
        <v>373</v>
      </c>
    </row>
    <row r="498" spans="1:1" x14ac:dyDescent="0.25">
      <c r="A498" t="s">
        <v>0</v>
      </c>
    </row>
    <row r="499" spans="1:1" x14ac:dyDescent="0.25">
      <c r="A499" t="s">
        <v>202</v>
      </c>
    </row>
    <row r="500" spans="1:1" x14ac:dyDescent="0.25">
      <c r="A500" t="s">
        <v>169</v>
      </c>
    </row>
    <row r="501" spans="1:1" x14ac:dyDescent="0.25">
      <c r="A501" t="s">
        <v>200</v>
      </c>
    </row>
    <row r="502" spans="1:1" x14ac:dyDescent="0.25">
      <c r="A502" t="s">
        <v>201</v>
      </c>
    </row>
    <row r="503" spans="1:1" x14ac:dyDescent="0.25">
      <c r="A503" t="s">
        <v>169</v>
      </c>
    </row>
    <row r="504" spans="1:1" x14ac:dyDescent="0.25">
      <c r="A504" t="s">
        <v>202</v>
      </c>
    </row>
    <row r="507" spans="1:1" x14ac:dyDescent="0.25">
      <c r="A507" t="s">
        <v>203</v>
      </c>
    </row>
    <row r="508" spans="1:1" x14ac:dyDescent="0.25">
      <c r="A508" t="s">
        <v>204</v>
      </c>
    </row>
    <row r="509" spans="1:1" x14ac:dyDescent="0.25">
      <c r="A509" t="s">
        <v>169</v>
      </c>
    </row>
    <row r="510" spans="1:1" x14ac:dyDescent="0.25">
      <c r="A510" t="s">
        <v>205</v>
      </c>
    </row>
    <row r="511" spans="1:1" x14ac:dyDescent="0.25">
      <c r="A511" t="s">
        <v>206</v>
      </c>
    </row>
    <row r="512" spans="1:1" x14ac:dyDescent="0.25">
      <c r="A512" t="s">
        <v>207</v>
      </c>
    </row>
    <row r="513" spans="1:1" x14ac:dyDescent="0.25">
      <c r="A513" t="s">
        <v>208</v>
      </c>
    </row>
    <row r="514" spans="1:1" x14ac:dyDescent="0.25">
      <c r="A514" t="s">
        <v>209</v>
      </c>
    </row>
    <row r="515" spans="1:1" x14ac:dyDescent="0.25">
      <c r="A515" t="s">
        <v>210</v>
      </c>
    </row>
    <row r="517" spans="1:1" x14ac:dyDescent="0.25">
      <c r="A517" t="s">
        <v>211</v>
      </c>
    </row>
    <row r="518" spans="1:1" x14ac:dyDescent="0.25">
      <c r="A518" t="s">
        <v>212</v>
      </c>
    </row>
    <row r="519" spans="1:1" x14ac:dyDescent="0.25">
      <c r="A519" t="s">
        <v>213</v>
      </c>
    </row>
    <row r="520" spans="1:1" x14ac:dyDescent="0.25">
      <c r="A520" t="s">
        <v>214</v>
      </c>
    </row>
    <row r="521" spans="1:1" x14ac:dyDescent="0.25">
      <c r="A521" t="s">
        <v>215</v>
      </c>
    </row>
    <row r="522" spans="1:1" x14ac:dyDescent="0.25">
      <c r="A522" t="s">
        <v>216</v>
      </c>
    </row>
    <row r="525" spans="1:1" x14ac:dyDescent="0.25">
      <c r="A525" t="s">
        <v>202</v>
      </c>
    </row>
    <row r="526" spans="1:1" x14ac:dyDescent="0.25">
      <c r="A526" t="s">
        <v>169</v>
      </c>
    </row>
    <row r="527" spans="1:1" x14ac:dyDescent="0.25">
      <c r="A527" t="s">
        <v>205</v>
      </c>
    </row>
    <row r="528" spans="1:1" x14ac:dyDescent="0.25">
      <c r="A528" t="s">
        <v>217</v>
      </c>
    </row>
    <row r="529" spans="1:1" x14ac:dyDescent="0.25">
      <c r="A529" t="s">
        <v>218</v>
      </c>
    </row>
    <row r="530" spans="1:1" x14ac:dyDescent="0.25">
      <c r="A530" t="s">
        <v>219</v>
      </c>
    </row>
    <row r="531" spans="1:1" x14ac:dyDescent="0.25">
      <c r="A531" t="s">
        <v>220</v>
      </c>
    </row>
    <row r="532" spans="1:1" x14ac:dyDescent="0.25">
      <c r="A532" t="s">
        <v>374</v>
      </c>
    </row>
    <row r="533" spans="1:1" x14ac:dyDescent="0.25">
      <c r="A533" t="s">
        <v>221</v>
      </c>
    </row>
    <row r="534" spans="1:1" x14ac:dyDescent="0.25">
      <c r="A534" t="s">
        <v>222</v>
      </c>
    </row>
    <row r="535" spans="1:1" x14ac:dyDescent="0.25">
      <c r="A535" t="s">
        <v>223</v>
      </c>
    </row>
    <row r="536" spans="1:1" x14ac:dyDescent="0.25">
      <c r="A536" t="s">
        <v>224</v>
      </c>
    </row>
    <row r="537" spans="1:1" x14ac:dyDescent="0.25">
      <c r="A537" t="s">
        <v>225</v>
      </c>
    </row>
    <row r="538" spans="1:1" x14ac:dyDescent="0.25">
      <c r="A538" t="s">
        <v>226</v>
      </c>
    </row>
    <row r="539" spans="1:1" x14ac:dyDescent="0.25">
      <c r="A539" t="s">
        <v>227</v>
      </c>
    </row>
    <row r="540" spans="1:1" x14ac:dyDescent="0.25">
      <c r="A540" t="s">
        <v>228</v>
      </c>
    </row>
    <row r="541" spans="1:1" x14ac:dyDescent="0.25">
      <c r="A541" t="s">
        <v>229</v>
      </c>
    </row>
    <row r="542" spans="1:1" x14ac:dyDescent="0.25">
      <c r="A542" t="s">
        <v>230</v>
      </c>
    </row>
    <row r="543" spans="1:1" x14ac:dyDescent="0.25">
      <c r="A543" t="s">
        <v>231</v>
      </c>
    </row>
    <row r="544" spans="1:1" x14ac:dyDescent="0.25">
      <c r="A544" t="s">
        <v>232</v>
      </c>
    </row>
    <row r="545" spans="1:1" x14ac:dyDescent="0.25">
      <c r="A545" t="s">
        <v>233</v>
      </c>
    </row>
    <row r="546" spans="1:1" x14ac:dyDescent="0.25">
      <c r="A546" t="s">
        <v>234</v>
      </c>
    </row>
    <row r="547" spans="1:1" x14ac:dyDescent="0.25">
      <c r="A547" t="s">
        <v>235</v>
      </c>
    </row>
    <row r="548" spans="1:1" x14ac:dyDescent="0.25">
      <c r="A548" t="s">
        <v>375</v>
      </c>
    </row>
    <row r="549" spans="1:1" x14ac:dyDescent="0.25">
      <c r="A549" t="s">
        <v>236</v>
      </c>
    </row>
    <row r="550" spans="1:1" x14ac:dyDescent="0.25">
      <c r="A550" t="s">
        <v>376</v>
      </c>
    </row>
    <row r="551" spans="1:1" x14ac:dyDescent="0.25">
      <c r="A551" t="s">
        <v>169</v>
      </c>
    </row>
    <row r="552" spans="1:1" x14ac:dyDescent="0.25">
      <c r="A552" t="s">
        <v>237</v>
      </c>
    </row>
    <row r="555" spans="1:1" x14ac:dyDescent="0.25">
      <c r="A555" t="s">
        <v>202</v>
      </c>
    </row>
    <row r="556" spans="1:1" x14ac:dyDescent="0.25">
      <c r="A556" t="s">
        <v>169</v>
      </c>
    </row>
    <row r="557" spans="1:1" x14ac:dyDescent="0.25">
      <c r="A557" t="s">
        <v>238</v>
      </c>
    </row>
    <row r="558" spans="1:1" x14ac:dyDescent="0.25">
      <c r="A558" t="s">
        <v>201</v>
      </c>
    </row>
    <row r="560" spans="1:1" x14ac:dyDescent="0.25">
      <c r="A560" t="s">
        <v>239</v>
      </c>
    </row>
    <row r="561" spans="1:1" x14ac:dyDescent="0.25">
      <c r="A561" t="s">
        <v>240</v>
      </c>
    </row>
    <row r="562" spans="1:1" x14ac:dyDescent="0.25">
      <c r="A562" t="s">
        <v>241</v>
      </c>
    </row>
    <row r="563" spans="1:1" x14ac:dyDescent="0.25">
      <c r="A563" t="s">
        <v>242</v>
      </c>
    </row>
    <row r="564" spans="1:1" x14ac:dyDescent="0.25">
      <c r="A564" t="s">
        <v>243</v>
      </c>
    </row>
    <row r="565" spans="1:1" x14ac:dyDescent="0.25">
      <c r="A565" t="s">
        <v>244</v>
      </c>
    </row>
    <row r="566" spans="1:1" x14ac:dyDescent="0.25">
      <c r="A566" t="s">
        <v>239</v>
      </c>
    </row>
    <row r="567" spans="1:1" x14ac:dyDescent="0.25">
      <c r="A567" t="s">
        <v>245</v>
      </c>
    </row>
    <row r="568" spans="1:1" x14ac:dyDescent="0.25">
      <c r="A568" t="s">
        <v>246</v>
      </c>
    </row>
    <row r="569" spans="1:1" x14ac:dyDescent="0.25">
      <c r="A569" t="s">
        <v>247</v>
      </c>
    </row>
    <row r="570" spans="1:1" x14ac:dyDescent="0.25">
      <c r="A570" t="s">
        <v>248</v>
      </c>
    </row>
    <row r="571" spans="1:1" x14ac:dyDescent="0.25">
      <c r="A571" t="s">
        <v>249</v>
      </c>
    </row>
    <row r="572" spans="1:1" x14ac:dyDescent="0.25">
      <c r="A572" t="s">
        <v>250</v>
      </c>
    </row>
    <row r="573" spans="1:1" x14ac:dyDescent="0.25">
      <c r="A573" t="s">
        <v>251</v>
      </c>
    </row>
    <row r="574" spans="1:1" x14ac:dyDescent="0.25">
      <c r="A574" t="s">
        <v>377</v>
      </c>
    </row>
    <row r="575" spans="1:1" x14ac:dyDescent="0.25">
      <c r="A575" t="s">
        <v>252</v>
      </c>
    </row>
    <row r="576" spans="1:1" x14ac:dyDescent="0.25">
      <c r="A576" t="s">
        <v>253</v>
      </c>
    </row>
    <row r="577" spans="1:1" x14ac:dyDescent="0.25">
      <c r="A577" t="s">
        <v>254</v>
      </c>
    </row>
    <row r="578" spans="1:1" x14ac:dyDescent="0.25">
      <c r="A578" t="s">
        <v>255</v>
      </c>
    </row>
    <row r="579" spans="1:1" x14ac:dyDescent="0.25">
      <c r="A579" t="s">
        <v>378</v>
      </c>
    </row>
    <row r="582" spans="1:1" x14ac:dyDescent="0.25">
      <c r="A582" t="s">
        <v>202</v>
      </c>
    </row>
    <row r="583" spans="1:1" x14ac:dyDescent="0.25">
      <c r="A583" t="s">
        <v>169</v>
      </c>
    </row>
    <row r="584" spans="1:1" x14ac:dyDescent="0.25">
      <c r="A584" t="s">
        <v>207</v>
      </c>
    </row>
    <row r="585" spans="1:1" x14ac:dyDescent="0.25">
      <c r="A585" t="s">
        <v>256</v>
      </c>
    </row>
    <row r="586" spans="1:1" x14ac:dyDescent="0.25">
      <c r="A586" t="s">
        <v>257</v>
      </c>
    </row>
    <row r="588" spans="1:1" x14ac:dyDescent="0.25">
      <c r="A588" t="s">
        <v>258</v>
      </c>
    </row>
    <row r="589" spans="1:1" x14ac:dyDescent="0.25">
      <c r="A589" t="s">
        <v>379</v>
      </c>
    </row>
    <row r="590" spans="1:1" x14ac:dyDescent="0.25">
      <c r="A590" t="s">
        <v>380</v>
      </c>
    </row>
    <row r="591" spans="1:1" x14ac:dyDescent="0.25">
      <c r="A591" t="s">
        <v>239</v>
      </c>
    </row>
    <row r="592" spans="1:1" x14ac:dyDescent="0.25">
      <c r="A592" t="s">
        <v>259</v>
      </c>
    </row>
    <row r="593" spans="1:1" x14ac:dyDescent="0.25">
      <c r="A593" t="s">
        <v>260</v>
      </c>
    </row>
    <row r="594" spans="1:1" x14ac:dyDescent="0.25">
      <c r="A594" t="s">
        <v>261</v>
      </c>
    </row>
    <row r="595" spans="1:1" x14ac:dyDescent="0.25">
      <c r="A595" t="s">
        <v>262</v>
      </c>
    </row>
    <row r="596" spans="1:1" x14ac:dyDescent="0.25">
      <c r="A596" t="s">
        <v>263</v>
      </c>
    </row>
    <row r="597" spans="1:1" x14ac:dyDescent="0.25">
      <c r="A597" t="s">
        <v>264</v>
      </c>
    </row>
    <row r="598" spans="1:1" x14ac:dyDescent="0.25">
      <c r="A598" t="s">
        <v>265</v>
      </c>
    </row>
    <row r="599" spans="1:1" x14ac:dyDescent="0.25">
      <c r="A599" t="s">
        <v>266</v>
      </c>
    </row>
    <row r="600" spans="1:1" x14ac:dyDescent="0.25">
      <c r="A600" t="s">
        <v>267</v>
      </c>
    </row>
    <row r="601" spans="1:1" x14ac:dyDescent="0.25">
      <c r="A601" t="s">
        <v>268</v>
      </c>
    </row>
    <row r="602" spans="1:1" x14ac:dyDescent="0.25">
      <c r="A602" t="s">
        <v>269</v>
      </c>
    </row>
    <row r="603" spans="1:1" x14ac:dyDescent="0.25">
      <c r="A603" t="s">
        <v>270</v>
      </c>
    </row>
    <row r="604" spans="1:1" x14ac:dyDescent="0.25">
      <c r="A604" t="s">
        <v>271</v>
      </c>
    </row>
    <row r="605" spans="1:1" x14ac:dyDescent="0.25">
      <c r="A605" t="s">
        <v>272</v>
      </c>
    </row>
    <row r="606" spans="1:1" x14ac:dyDescent="0.25">
      <c r="A606" t="s">
        <v>273</v>
      </c>
    </row>
    <row r="607" spans="1:1" x14ac:dyDescent="0.25">
      <c r="A607" t="s">
        <v>274</v>
      </c>
    </row>
    <row r="608" spans="1:1" x14ac:dyDescent="0.25">
      <c r="A608" t="s">
        <v>275</v>
      </c>
    </row>
    <row r="609" spans="1:1" x14ac:dyDescent="0.25">
      <c r="A609" t="s">
        <v>276</v>
      </c>
    </row>
    <row r="610" spans="1:1" x14ac:dyDescent="0.25">
      <c r="A610" t="s">
        <v>277</v>
      </c>
    </row>
    <row r="611" spans="1:1" x14ac:dyDescent="0.25">
      <c r="A611" t="s">
        <v>381</v>
      </c>
    </row>
    <row r="612" spans="1:1" x14ac:dyDescent="0.25">
      <c r="A612" t="s">
        <v>278</v>
      </c>
    </row>
    <row r="613" spans="1:1" x14ac:dyDescent="0.25">
      <c r="A613" t="s">
        <v>279</v>
      </c>
    </row>
    <row r="614" spans="1:1" x14ac:dyDescent="0.25">
      <c r="A614" t="s">
        <v>280</v>
      </c>
    </row>
    <row r="615" spans="1:1" x14ac:dyDescent="0.25">
      <c r="A615" t="s">
        <v>382</v>
      </c>
    </row>
    <row r="616" spans="1:1" x14ac:dyDescent="0.25">
      <c r="A616" t="s">
        <v>383</v>
      </c>
    </row>
    <row r="617" spans="1:1" x14ac:dyDescent="0.25">
      <c r="A617" t="s">
        <v>384</v>
      </c>
    </row>
    <row r="618" spans="1:1" x14ac:dyDescent="0.25">
      <c r="A618" t="s">
        <v>281</v>
      </c>
    </row>
    <row r="619" spans="1:1" x14ac:dyDescent="0.25">
      <c r="A619" t="s">
        <v>282</v>
      </c>
    </row>
    <row r="620" spans="1:1" x14ac:dyDescent="0.25">
      <c r="A620" t="s">
        <v>283</v>
      </c>
    </row>
    <row r="621" spans="1:1" x14ac:dyDescent="0.25">
      <c r="A621" t="s">
        <v>284</v>
      </c>
    </row>
    <row r="622" spans="1:1" x14ac:dyDescent="0.25">
      <c r="A622" t="s">
        <v>271</v>
      </c>
    </row>
    <row r="623" spans="1:1" x14ac:dyDescent="0.25">
      <c r="A623" t="s">
        <v>385</v>
      </c>
    </row>
    <row r="624" spans="1:1" x14ac:dyDescent="0.25">
      <c r="A624" t="s">
        <v>386</v>
      </c>
    </row>
    <row r="625" spans="1:1" x14ac:dyDescent="0.25">
      <c r="A625" t="s">
        <v>268</v>
      </c>
    </row>
    <row r="626" spans="1:1" x14ac:dyDescent="0.25">
      <c r="A626" t="s">
        <v>285</v>
      </c>
    </row>
    <row r="627" spans="1:1" x14ac:dyDescent="0.25">
      <c r="A627" t="s">
        <v>286</v>
      </c>
    </row>
    <row r="628" spans="1:1" x14ac:dyDescent="0.25">
      <c r="A628" t="s">
        <v>287</v>
      </c>
    </row>
    <row r="629" spans="1:1" x14ac:dyDescent="0.25">
      <c r="A629" t="s">
        <v>387</v>
      </c>
    </row>
    <row r="630" spans="1:1" x14ac:dyDescent="0.25">
      <c r="A630" t="s">
        <v>288</v>
      </c>
    </row>
    <row r="631" spans="1:1" x14ac:dyDescent="0.25">
      <c r="A631" t="s">
        <v>289</v>
      </c>
    </row>
    <row r="632" spans="1:1" x14ac:dyDescent="0.25">
      <c r="A632" t="s">
        <v>290</v>
      </c>
    </row>
    <row r="633" spans="1:1" x14ac:dyDescent="0.25">
      <c r="A633" t="s">
        <v>388</v>
      </c>
    </row>
    <row r="634" spans="1:1" x14ac:dyDescent="0.25">
      <c r="A634" t="s">
        <v>389</v>
      </c>
    </row>
    <row r="635" spans="1:1" x14ac:dyDescent="0.25">
      <c r="A635" t="s">
        <v>291</v>
      </c>
    </row>
    <row r="636" spans="1:1" x14ac:dyDescent="0.25">
      <c r="A636" t="s">
        <v>292</v>
      </c>
    </row>
    <row r="637" spans="1:1" x14ac:dyDescent="0.25">
      <c r="A637" t="s">
        <v>390</v>
      </c>
    </row>
    <row r="638" spans="1:1" x14ac:dyDescent="0.25">
      <c r="A638" t="s">
        <v>391</v>
      </c>
    </row>
    <row r="639" spans="1:1" x14ac:dyDescent="0.25">
      <c r="A639" t="s">
        <v>392</v>
      </c>
    </row>
    <row r="640" spans="1:1" x14ac:dyDescent="0.25">
      <c r="A640" t="s">
        <v>275</v>
      </c>
    </row>
    <row r="641" spans="1:1" x14ac:dyDescent="0.25">
      <c r="A641" t="s">
        <v>293</v>
      </c>
    </row>
    <row r="642" spans="1:1" x14ac:dyDescent="0.25">
      <c r="A642" t="s">
        <v>294</v>
      </c>
    </row>
    <row r="643" spans="1:1" x14ac:dyDescent="0.25">
      <c r="A643" t="s">
        <v>295</v>
      </c>
    </row>
    <row r="644" spans="1:1" x14ac:dyDescent="0.25">
      <c r="A644" t="s">
        <v>393</v>
      </c>
    </row>
    <row r="645" spans="1:1" x14ac:dyDescent="0.25">
      <c r="A645" t="s">
        <v>296</v>
      </c>
    </row>
    <row r="646" spans="1:1" x14ac:dyDescent="0.25">
      <c r="A646" t="s">
        <v>297</v>
      </c>
    </row>
    <row r="647" spans="1:1" x14ac:dyDescent="0.25">
      <c r="A647" t="s">
        <v>298</v>
      </c>
    </row>
    <row r="648" spans="1:1" x14ac:dyDescent="0.25">
      <c r="A648" t="s">
        <v>299</v>
      </c>
    </row>
    <row r="649" spans="1:1" x14ac:dyDescent="0.25">
      <c r="A649" t="s">
        <v>300</v>
      </c>
    </row>
    <row r="650" spans="1:1" x14ac:dyDescent="0.25">
      <c r="A650" t="s">
        <v>301</v>
      </c>
    </row>
    <row r="651" spans="1:1" x14ac:dyDescent="0.25">
      <c r="A651" t="s">
        <v>302</v>
      </c>
    </row>
    <row r="652" spans="1:1" x14ac:dyDescent="0.25">
      <c r="A652" t="s">
        <v>303</v>
      </c>
    </row>
    <row r="653" spans="1:1" x14ac:dyDescent="0.25">
      <c r="A653" t="s">
        <v>304</v>
      </c>
    </row>
    <row r="654" spans="1:1" x14ac:dyDescent="0.25">
      <c r="A654" t="s">
        <v>305</v>
      </c>
    </row>
    <row r="655" spans="1:1" x14ac:dyDescent="0.25">
      <c r="A655" t="s">
        <v>394</v>
      </c>
    </row>
    <row r="656" spans="1:1" x14ac:dyDescent="0.25">
      <c r="A656" t="s">
        <v>306</v>
      </c>
    </row>
    <row r="657" spans="1:2" x14ac:dyDescent="0.25">
      <c r="A657" t="s">
        <v>307</v>
      </c>
      <c r="B657">
        <v>1E-3</v>
      </c>
    </row>
    <row r="658" spans="1:2" x14ac:dyDescent="0.25">
      <c r="A658" t="s">
        <v>308</v>
      </c>
    </row>
    <row r="659" spans="1:2" x14ac:dyDescent="0.25">
      <c r="A659" t="s">
        <v>309</v>
      </c>
    </row>
    <row r="660" spans="1:2" x14ac:dyDescent="0.25">
      <c r="A660" t="s">
        <v>310</v>
      </c>
    </row>
    <row r="661" spans="1:2" x14ac:dyDescent="0.25">
      <c r="A661" t="s">
        <v>311</v>
      </c>
    </row>
    <row r="662" spans="1:2" x14ac:dyDescent="0.25">
      <c r="A662" t="s">
        <v>312</v>
      </c>
    </row>
    <row r="663" spans="1:2" x14ac:dyDescent="0.25">
      <c r="A663" t="s">
        <v>313</v>
      </c>
    </row>
    <row r="664" spans="1:2" x14ac:dyDescent="0.25">
      <c r="A664" t="s">
        <v>395</v>
      </c>
    </row>
    <row r="665" spans="1:2" x14ac:dyDescent="0.25">
      <c r="A665" t="s">
        <v>314</v>
      </c>
    </row>
    <row r="666" spans="1:2" x14ac:dyDescent="0.25">
      <c r="A666" t="s">
        <v>315</v>
      </c>
    </row>
    <row r="667" spans="1:2" x14ac:dyDescent="0.25">
      <c r="A667" t="s">
        <v>316</v>
      </c>
    </row>
    <row r="668" spans="1:2" x14ac:dyDescent="0.25">
      <c r="A668" t="s">
        <v>396</v>
      </c>
    </row>
    <row r="669" spans="1:2" x14ac:dyDescent="0.25">
      <c r="A669" t="s">
        <v>317</v>
      </c>
    </row>
    <row r="670" spans="1:2" x14ac:dyDescent="0.25">
      <c r="A670" t="s">
        <v>318</v>
      </c>
    </row>
    <row r="671" spans="1:2" x14ac:dyDescent="0.25">
      <c r="A671" t="s">
        <v>319</v>
      </c>
    </row>
    <row r="672" spans="1:2" x14ac:dyDescent="0.25">
      <c r="A672" t="s">
        <v>320</v>
      </c>
    </row>
    <row r="673" spans="1:1" x14ac:dyDescent="0.25">
      <c r="A673" t="s">
        <v>321</v>
      </c>
    </row>
    <row r="674" spans="1:1" x14ac:dyDescent="0.25">
      <c r="A674" t="s">
        <v>322</v>
      </c>
    </row>
    <row r="675" spans="1:1" x14ac:dyDescent="0.25">
      <c r="A675" t="s">
        <v>397</v>
      </c>
    </row>
    <row r="677" spans="1:1" x14ac:dyDescent="0.25">
      <c r="A677" t="s">
        <v>202</v>
      </c>
    </row>
    <row r="678" spans="1:1" x14ac:dyDescent="0.25">
      <c r="A678" t="s">
        <v>169</v>
      </c>
    </row>
    <row r="679" spans="1:1" x14ac:dyDescent="0.25">
      <c r="A679" t="s">
        <v>209</v>
      </c>
    </row>
    <row r="680" spans="1:1" x14ac:dyDescent="0.25">
      <c r="A680" t="s">
        <v>323</v>
      </c>
    </row>
    <row r="681" spans="1:1" x14ac:dyDescent="0.25">
      <c r="A681" t="s">
        <v>169</v>
      </c>
    </row>
    <row r="682" spans="1:1" x14ac:dyDescent="0.25">
      <c r="A682" t="s">
        <v>251</v>
      </c>
    </row>
    <row r="683" spans="1:1" x14ac:dyDescent="0.25">
      <c r="A683" t="s">
        <v>324</v>
      </c>
    </row>
    <row r="684" spans="1:1" x14ac:dyDescent="0.25">
      <c r="A684" t="s">
        <v>325</v>
      </c>
    </row>
    <row r="685" spans="1:1" x14ac:dyDescent="0.25">
      <c r="A685" t="s">
        <v>326</v>
      </c>
    </row>
    <row r="686" spans="1:1" x14ac:dyDescent="0.25">
      <c r="A686" t="s">
        <v>251</v>
      </c>
    </row>
    <row r="687" spans="1:1" x14ac:dyDescent="0.25">
      <c r="A687" t="s">
        <v>327</v>
      </c>
    </row>
    <row r="688" spans="1:1" x14ac:dyDescent="0.25">
      <c r="A688" t="s">
        <v>398</v>
      </c>
    </row>
    <row r="689" spans="1:1" x14ac:dyDescent="0.25">
      <c r="A689" t="s">
        <v>399</v>
      </c>
    </row>
    <row r="690" spans="1:1" x14ac:dyDescent="0.25">
      <c r="A690" t="s">
        <v>400</v>
      </c>
    </row>
    <row r="692" spans="1:1" x14ac:dyDescent="0.25">
      <c r="A692" t="s">
        <v>202</v>
      </c>
    </row>
    <row r="693" spans="1:1" x14ac:dyDescent="0.25">
      <c r="A693" t="s">
        <v>169</v>
      </c>
    </row>
    <row r="694" spans="1:1" x14ac:dyDescent="0.25">
      <c r="A694" t="s">
        <v>210</v>
      </c>
    </row>
    <row r="695" spans="1:1" x14ac:dyDescent="0.25">
      <c r="A695" t="s">
        <v>328</v>
      </c>
    </row>
    <row r="696" spans="1:1" x14ac:dyDescent="0.25">
      <c r="A696" t="s">
        <v>169</v>
      </c>
    </row>
    <row r="697" spans="1:1" x14ac:dyDescent="0.25">
      <c r="A697" t="s">
        <v>283</v>
      </c>
    </row>
    <row r="698" spans="1:1" x14ac:dyDescent="0.25">
      <c r="A698" t="s">
        <v>329</v>
      </c>
    </row>
    <row r="699" spans="1:1" x14ac:dyDescent="0.25">
      <c r="A699" t="s">
        <v>330</v>
      </c>
    </row>
    <row r="700" spans="1:1" x14ac:dyDescent="0.25">
      <c r="A700" t="s">
        <v>331</v>
      </c>
    </row>
    <row r="701" spans="1:1" x14ac:dyDescent="0.25">
      <c r="A701" t="s">
        <v>332</v>
      </c>
    </row>
    <row r="702" spans="1:1" x14ac:dyDescent="0.25">
      <c r="A702" t="s">
        <v>333</v>
      </c>
    </row>
    <row r="703" spans="1:1" x14ac:dyDescent="0.25">
      <c r="A703" t="s">
        <v>334</v>
      </c>
    </row>
    <row r="704" spans="1:1" x14ac:dyDescent="0.25">
      <c r="A704" t="s">
        <v>401</v>
      </c>
    </row>
    <row r="705" spans="1:1" x14ac:dyDescent="0.25">
      <c r="A705" t="s">
        <v>283</v>
      </c>
    </row>
    <row r="706" spans="1:1" x14ac:dyDescent="0.25">
      <c r="A706" t="s">
        <v>335</v>
      </c>
    </row>
    <row r="707" spans="1:1" x14ac:dyDescent="0.25">
      <c r="A707" t="s">
        <v>336</v>
      </c>
    </row>
    <row r="708" spans="1:1" x14ac:dyDescent="0.25">
      <c r="A708" t="s">
        <v>248</v>
      </c>
    </row>
    <row r="709" spans="1:1" x14ac:dyDescent="0.25">
      <c r="A709" t="s">
        <v>402</v>
      </c>
    </row>
    <row r="710" spans="1:1" x14ac:dyDescent="0.25">
      <c r="A710" t="s">
        <v>248</v>
      </c>
    </row>
    <row r="711" spans="1:1" x14ac:dyDescent="0.25">
      <c r="A711" t="s">
        <v>403</v>
      </c>
    </row>
    <row r="712" spans="1:1" x14ac:dyDescent="0.25">
      <c r="A712" t="s">
        <v>404</v>
      </c>
    </row>
    <row r="713" spans="1:1" x14ac:dyDescent="0.25">
      <c r="A713" t="s">
        <v>202</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ECF03-8FB7-47B0-A3BD-6C4C7E6C59AD}">
  <sheetPr codeName="Tabelle4">
    <tabColor theme="5" tint="0.79998168889431442"/>
  </sheetPr>
  <dimension ref="A1:G14"/>
  <sheetViews>
    <sheetView workbookViewId="0">
      <selection activeCell="I30" sqref="I30"/>
    </sheetView>
  </sheetViews>
  <sheetFormatPr baseColWidth="10" defaultRowHeight="14.25" x14ac:dyDescent="0.25"/>
  <cols>
    <col min="1" max="1" width="51.28515625" bestFit="1" customWidth="1"/>
  </cols>
  <sheetData>
    <row r="1" spans="1:7" x14ac:dyDescent="0.25">
      <c r="A1" t="s">
        <v>343</v>
      </c>
    </row>
    <row r="2" spans="1:7" x14ac:dyDescent="0.25">
      <c r="A2" t="s">
        <v>169</v>
      </c>
    </row>
    <row r="3" spans="1:7" x14ac:dyDescent="0.25">
      <c r="A3" t="s">
        <v>345</v>
      </c>
    </row>
    <row r="4" spans="1:7" x14ac:dyDescent="0.25">
      <c r="A4" t="s">
        <v>344</v>
      </c>
    </row>
    <row r="5" spans="1:7" x14ac:dyDescent="0.25">
      <c r="A5" t="s">
        <v>169</v>
      </c>
    </row>
    <row r="6" spans="1:7" x14ac:dyDescent="0.25">
      <c r="A6" t="s">
        <v>343</v>
      </c>
    </row>
    <row r="7" spans="1:7" x14ac:dyDescent="0.25">
      <c r="A7" t="s">
        <v>340</v>
      </c>
      <c r="B7" t="s">
        <v>339</v>
      </c>
      <c r="C7" t="s">
        <v>339</v>
      </c>
    </row>
    <row r="8" spans="1:7" x14ac:dyDescent="0.25">
      <c r="A8" t="s">
        <v>21</v>
      </c>
      <c r="B8" t="s">
        <v>342</v>
      </c>
      <c r="C8" t="s">
        <v>341</v>
      </c>
      <c r="D8">
        <v>0</v>
      </c>
      <c r="E8">
        <v>0</v>
      </c>
      <c r="F8">
        <v>0</v>
      </c>
      <c r="G8">
        <v>0</v>
      </c>
    </row>
    <row r="9" spans="1:7" x14ac:dyDescent="0.25">
      <c r="A9" t="s">
        <v>340</v>
      </c>
      <c r="B9" t="s">
        <v>339</v>
      </c>
      <c r="C9" t="s">
        <v>339</v>
      </c>
    </row>
    <row r="10" spans="1:7" x14ac:dyDescent="0.25">
      <c r="A10" t="s">
        <v>30</v>
      </c>
      <c r="B10">
        <v>100</v>
      </c>
      <c r="C10">
        <v>2</v>
      </c>
      <c r="D10">
        <v>0</v>
      </c>
      <c r="E10">
        <v>0</v>
      </c>
      <c r="F10">
        <v>0</v>
      </c>
      <c r="G10">
        <v>0</v>
      </c>
    </row>
    <row r="11" spans="1:7" x14ac:dyDescent="0.25">
      <c r="A11" t="s">
        <v>32</v>
      </c>
      <c r="B11">
        <v>20</v>
      </c>
      <c r="C11">
        <v>1</v>
      </c>
      <c r="D11">
        <v>0</v>
      </c>
      <c r="E11">
        <v>0</v>
      </c>
      <c r="F11">
        <v>0</v>
      </c>
      <c r="G11">
        <v>0</v>
      </c>
    </row>
    <row r="12" spans="1:7" x14ac:dyDescent="0.25">
      <c r="A12" t="s">
        <v>34</v>
      </c>
      <c r="B12">
        <v>500</v>
      </c>
      <c r="C12">
        <v>5</v>
      </c>
      <c r="D12">
        <v>0</v>
      </c>
      <c r="E12">
        <v>0</v>
      </c>
      <c r="F12">
        <v>0</v>
      </c>
      <c r="G12">
        <v>0</v>
      </c>
    </row>
    <row r="13" spans="1:7" x14ac:dyDescent="0.25">
      <c r="A13" t="s">
        <v>36</v>
      </c>
      <c r="B13">
        <v>888</v>
      </c>
      <c r="C13">
        <v>12</v>
      </c>
      <c r="D13">
        <v>0</v>
      </c>
      <c r="E13">
        <v>0</v>
      </c>
      <c r="F13">
        <v>0</v>
      </c>
      <c r="G13">
        <v>0</v>
      </c>
    </row>
    <row r="14" spans="1:7" x14ac:dyDescent="0.25">
      <c r="A14" t="s">
        <v>338</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5B5E-9D89-4B64-8EB6-38224DD123F7}">
  <sheetPr codeName="Tabelle5">
    <tabColor theme="5" tint="0.79998168889431442"/>
  </sheetPr>
  <dimension ref="A1:G22"/>
  <sheetViews>
    <sheetView workbookViewId="0">
      <selection activeCell="G34" sqref="G34"/>
    </sheetView>
  </sheetViews>
  <sheetFormatPr baseColWidth="10" defaultRowHeight="14.25" x14ac:dyDescent="0.25"/>
  <cols>
    <col min="1" max="1" width="58.85546875" bestFit="1" customWidth="1"/>
  </cols>
  <sheetData>
    <row r="1" spans="1:7" x14ac:dyDescent="0.25">
      <c r="A1" t="s">
        <v>343</v>
      </c>
    </row>
    <row r="2" spans="1:7" x14ac:dyDescent="0.25">
      <c r="A2" t="s">
        <v>169</v>
      </c>
    </row>
    <row r="3" spans="1:7" x14ac:dyDescent="0.25">
      <c r="A3" t="s">
        <v>359</v>
      </c>
    </row>
    <row r="4" spans="1:7" x14ac:dyDescent="0.25">
      <c r="A4" t="s">
        <v>358</v>
      </c>
    </row>
    <row r="5" spans="1:7" x14ac:dyDescent="0.25">
      <c r="A5" t="s">
        <v>357</v>
      </c>
    </row>
    <row r="6" spans="1:7" x14ac:dyDescent="0.25">
      <c r="A6" t="s">
        <v>356</v>
      </c>
    </row>
    <row r="7" spans="1:7" x14ac:dyDescent="0.25">
      <c r="A7" t="s">
        <v>355</v>
      </c>
    </row>
    <row r="8" spans="1:7" x14ac:dyDescent="0.25">
      <c r="A8" t="s">
        <v>169</v>
      </c>
    </row>
    <row r="9" spans="1:7" x14ac:dyDescent="0.25">
      <c r="A9" t="s">
        <v>343</v>
      </c>
    </row>
    <row r="10" spans="1:7" x14ac:dyDescent="0.25">
      <c r="A10" t="s">
        <v>169</v>
      </c>
    </row>
    <row r="11" spans="1:7" x14ac:dyDescent="0.25">
      <c r="A11" t="s">
        <v>169</v>
      </c>
    </row>
    <row r="12" spans="1:7" x14ac:dyDescent="0.25">
      <c r="A12" t="s">
        <v>346</v>
      </c>
      <c r="B12" t="s">
        <v>339</v>
      </c>
      <c r="C12" t="s">
        <v>339</v>
      </c>
      <c r="D12" t="s">
        <v>339</v>
      </c>
      <c r="E12" t="s">
        <v>339</v>
      </c>
      <c r="F12" t="s">
        <v>339</v>
      </c>
      <c r="G12" t="s">
        <v>339</v>
      </c>
    </row>
    <row r="13" spans="1:7" x14ac:dyDescent="0.25">
      <c r="A13" t="s">
        <v>21</v>
      </c>
      <c r="B13" t="s">
        <v>354</v>
      </c>
      <c r="C13" t="s">
        <v>353</v>
      </c>
      <c r="D13" t="s">
        <v>352</v>
      </c>
      <c r="E13" t="s">
        <v>351</v>
      </c>
      <c r="F13" t="s">
        <v>350</v>
      </c>
      <c r="G13" t="s">
        <v>349</v>
      </c>
    </row>
    <row r="14" spans="1:7" x14ac:dyDescent="0.25">
      <c r="A14" t="s">
        <v>346</v>
      </c>
      <c r="B14" t="s">
        <v>339</v>
      </c>
      <c r="C14" t="s">
        <v>339</v>
      </c>
      <c r="D14" t="s">
        <v>339</v>
      </c>
      <c r="E14" t="s">
        <v>339</v>
      </c>
      <c r="F14" t="s">
        <v>339</v>
      </c>
      <c r="G14" t="s">
        <v>339</v>
      </c>
    </row>
    <row r="15" spans="1:7" x14ac:dyDescent="0.25">
      <c r="A15" t="s">
        <v>348</v>
      </c>
      <c r="B15">
        <v>27</v>
      </c>
      <c r="C15">
        <v>0</v>
      </c>
      <c r="D15">
        <v>0</v>
      </c>
      <c r="E15">
        <v>0</v>
      </c>
      <c r="F15">
        <v>0</v>
      </c>
      <c r="G15">
        <v>0</v>
      </c>
    </row>
    <row r="16" spans="1:7" x14ac:dyDescent="0.25">
      <c r="A16" t="s">
        <v>347</v>
      </c>
      <c r="B16">
        <v>1</v>
      </c>
      <c r="C16">
        <v>0</v>
      </c>
      <c r="D16">
        <v>0</v>
      </c>
      <c r="E16">
        <v>0</v>
      </c>
      <c r="F16">
        <v>0</v>
      </c>
      <c r="G16">
        <v>0</v>
      </c>
    </row>
    <row r="17" spans="1:7" x14ac:dyDescent="0.25">
      <c r="A17" t="s">
        <v>346</v>
      </c>
      <c r="B17" t="s">
        <v>339</v>
      </c>
      <c r="C17" t="s">
        <v>339</v>
      </c>
      <c r="D17" t="s">
        <v>339</v>
      </c>
      <c r="E17" t="s">
        <v>339</v>
      </c>
      <c r="F17" t="s">
        <v>339</v>
      </c>
      <c r="G17" t="s">
        <v>339</v>
      </c>
    </row>
    <row r="18" spans="1:7" x14ac:dyDescent="0.25">
      <c r="A18" t="s">
        <v>30</v>
      </c>
      <c r="B18">
        <v>5000</v>
      </c>
      <c r="C18">
        <v>0</v>
      </c>
      <c r="D18">
        <v>0</v>
      </c>
      <c r="E18">
        <v>0</v>
      </c>
      <c r="F18">
        <v>0</v>
      </c>
      <c r="G18">
        <v>0</v>
      </c>
    </row>
    <row r="19" spans="1:7" x14ac:dyDescent="0.25">
      <c r="A19" t="s">
        <v>32</v>
      </c>
      <c r="B19">
        <v>500</v>
      </c>
      <c r="C19">
        <v>0</v>
      </c>
      <c r="D19">
        <v>0</v>
      </c>
      <c r="E19">
        <v>0</v>
      </c>
      <c r="F19">
        <v>0</v>
      </c>
      <c r="G19">
        <v>0</v>
      </c>
    </row>
    <row r="20" spans="1:7" x14ac:dyDescent="0.25">
      <c r="A20" t="s">
        <v>34</v>
      </c>
      <c r="B20">
        <v>4000</v>
      </c>
      <c r="C20">
        <v>0</v>
      </c>
      <c r="D20">
        <v>0</v>
      </c>
      <c r="E20">
        <v>0</v>
      </c>
      <c r="F20">
        <v>0</v>
      </c>
      <c r="G20">
        <v>0</v>
      </c>
    </row>
    <row r="21" spans="1:7" x14ac:dyDescent="0.25">
      <c r="A21" t="s">
        <v>36</v>
      </c>
      <c r="B21">
        <v>1000</v>
      </c>
      <c r="C21">
        <v>0</v>
      </c>
      <c r="D21">
        <v>0</v>
      </c>
      <c r="E21">
        <v>0</v>
      </c>
      <c r="F21">
        <v>0</v>
      </c>
      <c r="G21">
        <v>0</v>
      </c>
    </row>
    <row r="22" spans="1:7" x14ac:dyDescent="0.25">
      <c r="A22" t="s">
        <v>338</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213F5-C348-446C-9796-7384354CE10B}">
  <sheetPr codeName="Tabelle6">
    <tabColor theme="7" tint="0.79998168889431442"/>
  </sheetPr>
  <dimension ref="A1:R27"/>
  <sheetViews>
    <sheetView workbookViewId="0">
      <selection activeCell="G3" sqref="G3"/>
    </sheetView>
  </sheetViews>
  <sheetFormatPr baseColWidth="10" defaultRowHeight="14.25" x14ac:dyDescent="0.25"/>
  <sheetData>
    <row r="1" spans="1:18" x14ac:dyDescent="0.25">
      <c r="A1" t="s">
        <v>432</v>
      </c>
      <c r="B1" t="s">
        <v>431</v>
      </c>
      <c r="C1" t="s">
        <v>430</v>
      </c>
      <c r="D1" t="s">
        <v>429</v>
      </c>
      <c r="E1" t="s">
        <v>20</v>
      </c>
      <c r="F1" t="s">
        <v>428</v>
      </c>
      <c r="G1" t="s">
        <v>427</v>
      </c>
      <c r="H1" t="s">
        <v>426</v>
      </c>
      <c r="I1" t="s">
        <v>425</v>
      </c>
      <c r="J1" t="s">
        <v>424</v>
      </c>
      <c r="K1" t="s">
        <v>423</v>
      </c>
      <c r="L1" t="s">
        <v>422</v>
      </c>
      <c r="M1" t="s">
        <v>421</v>
      </c>
      <c r="N1" t="s">
        <v>420</v>
      </c>
      <c r="O1" t="s">
        <v>419</v>
      </c>
      <c r="P1" t="s">
        <v>418</v>
      </c>
      <c r="Q1" t="s">
        <v>417</v>
      </c>
      <c r="R1" t="s">
        <v>416</v>
      </c>
    </row>
    <row r="2" spans="1:18" x14ac:dyDescent="0.25">
      <c r="A2" t="s">
        <v>29</v>
      </c>
      <c r="B2">
        <v>716653.9</v>
      </c>
      <c r="C2">
        <v>248246.8</v>
      </c>
      <c r="D2">
        <v>4</v>
      </c>
      <c r="E2">
        <v>696190</v>
      </c>
      <c r="F2">
        <v>116.06</v>
      </c>
      <c r="G2">
        <v>102.24</v>
      </c>
      <c r="H2">
        <v>60.7</v>
      </c>
      <c r="L2">
        <v>696190</v>
      </c>
    </row>
    <row r="3" spans="1:18" x14ac:dyDescent="0.25">
      <c r="A3" t="s">
        <v>37</v>
      </c>
      <c r="B3">
        <v>716666.2</v>
      </c>
      <c r="C3">
        <v>248206.8</v>
      </c>
      <c r="D3">
        <v>4</v>
      </c>
      <c r="E3">
        <v>696367</v>
      </c>
      <c r="F3">
        <v>107.08</v>
      </c>
      <c r="G3">
        <v>93.53</v>
      </c>
      <c r="H3">
        <v>51.8</v>
      </c>
      <c r="L3">
        <v>696367</v>
      </c>
    </row>
    <row r="4" spans="1:18" x14ac:dyDescent="0.25">
      <c r="A4" t="s">
        <v>38</v>
      </c>
      <c r="B4">
        <v>716670.1</v>
      </c>
      <c r="C4">
        <v>247965.8</v>
      </c>
      <c r="D4">
        <v>4</v>
      </c>
      <c r="E4">
        <v>726653</v>
      </c>
      <c r="F4">
        <v>101.93</v>
      </c>
      <c r="G4">
        <v>88.24</v>
      </c>
      <c r="H4">
        <v>46.6</v>
      </c>
      <c r="L4">
        <v>726653</v>
      </c>
    </row>
    <row r="5" spans="1:18" x14ac:dyDescent="0.25">
      <c r="A5" t="s">
        <v>39</v>
      </c>
      <c r="B5">
        <v>716527.3</v>
      </c>
      <c r="C5">
        <v>248041</v>
      </c>
      <c r="D5">
        <v>4</v>
      </c>
      <c r="E5">
        <v>715459</v>
      </c>
      <c r="F5">
        <v>97.13</v>
      </c>
      <c r="G5">
        <v>83.45</v>
      </c>
      <c r="H5">
        <v>41.8</v>
      </c>
      <c r="L5">
        <v>715459</v>
      </c>
    </row>
    <row r="6" spans="1:18" x14ac:dyDescent="0.25">
      <c r="A6" t="s">
        <v>40</v>
      </c>
      <c r="B6">
        <v>716527.3</v>
      </c>
      <c r="C6">
        <v>248041</v>
      </c>
      <c r="D6">
        <v>8</v>
      </c>
      <c r="E6">
        <v>715459</v>
      </c>
      <c r="F6">
        <v>96.6</v>
      </c>
      <c r="G6">
        <v>82.92</v>
      </c>
      <c r="H6">
        <v>41.3</v>
      </c>
      <c r="L6">
        <v>715459</v>
      </c>
    </row>
    <row r="7" spans="1:18" x14ac:dyDescent="0.25">
      <c r="A7" t="s">
        <v>41</v>
      </c>
      <c r="B7">
        <v>716527.3</v>
      </c>
      <c r="C7">
        <v>248041</v>
      </c>
      <c r="D7">
        <v>12</v>
      </c>
      <c r="E7">
        <v>715459</v>
      </c>
      <c r="F7">
        <v>96.71</v>
      </c>
      <c r="G7">
        <v>83.03</v>
      </c>
      <c r="H7">
        <v>41.4</v>
      </c>
      <c r="L7">
        <v>715459</v>
      </c>
    </row>
    <row r="8" spans="1:18" x14ac:dyDescent="0.25">
      <c r="A8" t="s">
        <v>42</v>
      </c>
      <c r="B8">
        <v>716373.4</v>
      </c>
      <c r="C8">
        <v>248261.6</v>
      </c>
      <c r="D8">
        <v>4</v>
      </c>
      <c r="E8">
        <v>702381</v>
      </c>
      <c r="F8">
        <v>115.93</v>
      </c>
      <c r="G8">
        <v>102.06</v>
      </c>
      <c r="H8">
        <v>60.6</v>
      </c>
      <c r="L8">
        <v>702381</v>
      </c>
    </row>
    <row r="9" spans="1:18" x14ac:dyDescent="0.25">
      <c r="A9" t="s">
        <v>43</v>
      </c>
      <c r="B9">
        <v>716373.4</v>
      </c>
      <c r="C9">
        <v>248261.6</v>
      </c>
      <c r="D9">
        <v>8</v>
      </c>
      <c r="E9">
        <v>702381</v>
      </c>
      <c r="F9">
        <v>117.13</v>
      </c>
      <c r="G9">
        <v>103.23</v>
      </c>
      <c r="H9">
        <v>61.8</v>
      </c>
      <c r="L9">
        <v>702381</v>
      </c>
    </row>
    <row r="10" spans="1:18" x14ac:dyDescent="0.25">
      <c r="A10" t="s">
        <v>44</v>
      </c>
      <c r="B10">
        <v>716043.3</v>
      </c>
      <c r="C10">
        <v>248216.3</v>
      </c>
      <c r="D10">
        <v>4</v>
      </c>
      <c r="E10">
        <v>696347</v>
      </c>
      <c r="F10">
        <v>108.42</v>
      </c>
      <c r="G10">
        <v>94.56</v>
      </c>
      <c r="H10">
        <v>53.1</v>
      </c>
      <c r="L10">
        <v>696347</v>
      </c>
    </row>
    <row r="11" spans="1:18" x14ac:dyDescent="0.25">
      <c r="A11" t="s">
        <v>45</v>
      </c>
      <c r="B11">
        <v>715848.8</v>
      </c>
      <c r="C11">
        <v>248571.1</v>
      </c>
      <c r="D11">
        <v>4</v>
      </c>
      <c r="E11">
        <v>710249</v>
      </c>
      <c r="F11">
        <v>86.26</v>
      </c>
      <c r="G11">
        <v>72.95</v>
      </c>
      <c r="H11">
        <v>31</v>
      </c>
      <c r="L11">
        <v>710249</v>
      </c>
    </row>
    <row r="12" spans="1:18" x14ac:dyDescent="0.25">
      <c r="A12" t="s">
        <v>46</v>
      </c>
      <c r="B12">
        <v>716482.9</v>
      </c>
      <c r="C12">
        <v>249015.2</v>
      </c>
      <c r="D12">
        <v>4</v>
      </c>
      <c r="E12">
        <v>691176</v>
      </c>
      <c r="F12">
        <v>69.77</v>
      </c>
      <c r="G12">
        <v>0</v>
      </c>
      <c r="H12">
        <v>14.3</v>
      </c>
      <c r="L12">
        <v>691176</v>
      </c>
    </row>
    <row r="13" spans="1:18" x14ac:dyDescent="0.25">
      <c r="A13" t="s">
        <v>47</v>
      </c>
      <c r="B13">
        <v>716688.1</v>
      </c>
      <c r="C13">
        <v>248550</v>
      </c>
      <c r="D13">
        <v>4</v>
      </c>
      <c r="E13">
        <v>697844</v>
      </c>
      <c r="F13">
        <v>108.2</v>
      </c>
      <c r="G13">
        <v>95.39</v>
      </c>
      <c r="H13">
        <v>52.9</v>
      </c>
      <c r="L13">
        <v>697844</v>
      </c>
    </row>
    <row r="14" spans="1:18" x14ac:dyDescent="0.25">
      <c r="A14" t="s">
        <v>338</v>
      </c>
    </row>
    <row r="16" spans="1:18" x14ac:dyDescent="0.25">
      <c r="A16" t="s">
        <v>415</v>
      </c>
    </row>
    <row r="17" spans="1:1" x14ac:dyDescent="0.25">
      <c r="A17" t="s">
        <v>414</v>
      </c>
    </row>
    <row r="18" spans="1:1" x14ac:dyDescent="0.25">
      <c r="A18" t="s">
        <v>413</v>
      </c>
    </row>
    <row r="19" spans="1:1" x14ac:dyDescent="0.25">
      <c r="A19" t="s">
        <v>412</v>
      </c>
    </row>
    <row r="20" spans="1:1" x14ac:dyDescent="0.25">
      <c r="A20" t="s">
        <v>411</v>
      </c>
    </row>
    <row r="21" spans="1:1" x14ac:dyDescent="0.25">
      <c r="A21" t="s">
        <v>408</v>
      </c>
    </row>
    <row r="22" spans="1:1" x14ac:dyDescent="0.25">
      <c r="A22" t="s">
        <v>410</v>
      </c>
    </row>
    <row r="23" spans="1:1" x14ac:dyDescent="0.25">
      <c r="A23" t="s">
        <v>408</v>
      </c>
    </row>
    <row r="24" spans="1:1" x14ac:dyDescent="0.25">
      <c r="A24" t="s">
        <v>409</v>
      </c>
    </row>
    <row r="25" spans="1:1" x14ac:dyDescent="0.25">
      <c r="A25" t="s">
        <v>408</v>
      </c>
    </row>
    <row r="26" spans="1:1" x14ac:dyDescent="0.25">
      <c r="A26" t="s">
        <v>407</v>
      </c>
    </row>
    <row r="27" spans="1:1" x14ac:dyDescent="0.25">
      <c r="A27" t="s">
        <v>406</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DBA9F-8B1E-49C6-9D49-3F5E377008A3}">
  <sheetPr codeName="Tabelle7">
    <tabColor theme="7" tint="0.79998168889431442"/>
  </sheetPr>
  <dimension ref="A1:AB29"/>
  <sheetViews>
    <sheetView workbookViewId="0">
      <selection activeCell="F2" sqref="F2"/>
    </sheetView>
  </sheetViews>
  <sheetFormatPr baseColWidth="10" defaultRowHeight="14.25" x14ac:dyDescent="0.25"/>
  <sheetData>
    <row r="1" spans="1:28" x14ac:dyDescent="0.25">
      <c r="A1" t="s">
        <v>432</v>
      </c>
      <c r="B1" t="s">
        <v>431</v>
      </c>
      <c r="C1" t="s">
        <v>430</v>
      </c>
      <c r="D1" t="s">
        <v>429</v>
      </c>
      <c r="E1" t="s">
        <v>20</v>
      </c>
      <c r="F1" t="s">
        <v>451</v>
      </c>
      <c r="G1" t="s">
        <v>450</v>
      </c>
      <c r="H1" t="s">
        <v>449</v>
      </c>
      <c r="I1" t="s">
        <v>448</v>
      </c>
      <c r="J1" t="s">
        <v>447</v>
      </c>
      <c r="K1" t="s">
        <v>446</v>
      </c>
      <c r="L1" t="s">
        <v>445</v>
      </c>
      <c r="M1" t="s">
        <v>444</v>
      </c>
      <c r="N1" t="s">
        <v>443</v>
      </c>
      <c r="O1" t="s">
        <v>442</v>
      </c>
      <c r="P1" t="s">
        <v>441</v>
      </c>
      <c r="Q1" t="s">
        <v>440</v>
      </c>
      <c r="R1" t="s">
        <v>426</v>
      </c>
      <c r="S1" t="s">
        <v>425</v>
      </c>
      <c r="T1" t="s">
        <v>424</v>
      </c>
      <c r="U1" t="s">
        <v>423</v>
      </c>
      <c r="V1" t="s">
        <v>422</v>
      </c>
      <c r="W1" t="s">
        <v>421</v>
      </c>
      <c r="X1" t="s">
        <v>420</v>
      </c>
      <c r="Y1" t="s">
        <v>419</v>
      </c>
      <c r="Z1" t="s">
        <v>418</v>
      </c>
      <c r="AA1" t="s">
        <v>417</v>
      </c>
      <c r="AB1" t="s">
        <v>416</v>
      </c>
    </row>
    <row r="2" spans="1:28" x14ac:dyDescent="0.25">
      <c r="A2" t="s">
        <v>29</v>
      </c>
      <c r="B2">
        <v>716653.9</v>
      </c>
      <c r="C2">
        <v>248246.8</v>
      </c>
      <c r="D2">
        <v>4</v>
      </c>
      <c r="E2">
        <v>696190</v>
      </c>
      <c r="F2">
        <v>90.92</v>
      </c>
      <c r="G2">
        <v>0</v>
      </c>
      <c r="H2">
        <v>0</v>
      </c>
      <c r="I2">
        <v>0</v>
      </c>
      <c r="J2">
        <v>0</v>
      </c>
      <c r="K2">
        <v>0</v>
      </c>
      <c r="L2">
        <v>73.75</v>
      </c>
      <c r="M2">
        <v>0</v>
      </c>
      <c r="N2">
        <v>0</v>
      </c>
      <c r="O2">
        <v>0</v>
      </c>
      <c r="P2">
        <v>0</v>
      </c>
      <c r="Q2">
        <v>0</v>
      </c>
      <c r="R2">
        <v>73.8</v>
      </c>
      <c r="V2">
        <v>696190</v>
      </c>
    </row>
    <row r="3" spans="1:28" x14ac:dyDescent="0.25">
      <c r="A3" t="s">
        <v>37</v>
      </c>
      <c r="B3">
        <v>716666.2</v>
      </c>
      <c r="C3">
        <v>248206.8</v>
      </c>
      <c r="D3">
        <v>4</v>
      </c>
      <c r="E3">
        <v>696367</v>
      </c>
      <c r="F3">
        <v>83.45</v>
      </c>
      <c r="G3">
        <v>0</v>
      </c>
      <c r="H3">
        <v>0</v>
      </c>
      <c r="I3">
        <v>0</v>
      </c>
      <c r="J3">
        <v>0</v>
      </c>
      <c r="K3">
        <v>0</v>
      </c>
      <c r="L3">
        <v>66.28</v>
      </c>
      <c r="M3">
        <v>0</v>
      </c>
      <c r="N3">
        <v>0</v>
      </c>
      <c r="O3">
        <v>0</v>
      </c>
      <c r="P3">
        <v>0</v>
      </c>
      <c r="Q3">
        <v>0</v>
      </c>
      <c r="R3">
        <v>66.3</v>
      </c>
      <c r="V3">
        <v>696367</v>
      </c>
    </row>
    <row r="4" spans="1:28" x14ac:dyDescent="0.25">
      <c r="A4" t="s">
        <v>38</v>
      </c>
      <c r="B4">
        <v>716670.1</v>
      </c>
      <c r="C4">
        <v>247965.8</v>
      </c>
      <c r="D4">
        <v>4</v>
      </c>
      <c r="E4">
        <v>726653</v>
      </c>
      <c r="F4">
        <v>77.64</v>
      </c>
      <c r="G4">
        <v>0</v>
      </c>
      <c r="H4">
        <v>0</v>
      </c>
      <c r="I4">
        <v>0</v>
      </c>
      <c r="J4">
        <v>0</v>
      </c>
      <c r="K4">
        <v>0</v>
      </c>
      <c r="L4">
        <v>60.47</v>
      </c>
      <c r="M4">
        <v>0</v>
      </c>
      <c r="N4">
        <v>0</v>
      </c>
      <c r="O4">
        <v>0</v>
      </c>
      <c r="P4">
        <v>0</v>
      </c>
      <c r="Q4">
        <v>0</v>
      </c>
      <c r="R4">
        <v>60.5</v>
      </c>
      <c r="V4">
        <v>726653</v>
      </c>
    </row>
    <row r="5" spans="1:28" x14ac:dyDescent="0.25">
      <c r="A5" t="s">
        <v>39</v>
      </c>
      <c r="B5">
        <v>716527.3</v>
      </c>
      <c r="C5">
        <v>248041</v>
      </c>
      <c r="D5">
        <v>4</v>
      </c>
      <c r="E5">
        <v>715459</v>
      </c>
      <c r="F5">
        <v>70.23</v>
      </c>
      <c r="G5">
        <v>0</v>
      </c>
      <c r="H5">
        <v>0</v>
      </c>
      <c r="I5">
        <v>0</v>
      </c>
      <c r="J5">
        <v>0</v>
      </c>
      <c r="K5">
        <v>0</v>
      </c>
      <c r="L5">
        <v>53.06</v>
      </c>
      <c r="M5">
        <v>0</v>
      </c>
      <c r="N5">
        <v>0</v>
      </c>
      <c r="O5">
        <v>0</v>
      </c>
      <c r="P5">
        <v>0</v>
      </c>
      <c r="Q5">
        <v>0</v>
      </c>
      <c r="R5">
        <v>53.1</v>
      </c>
      <c r="V5">
        <v>715459</v>
      </c>
    </row>
    <row r="6" spans="1:28" x14ac:dyDescent="0.25">
      <c r="A6" t="s">
        <v>40</v>
      </c>
      <c r="B6">
        <v>716527.3</v>
      </c>
      <c r="C6">
        <v>248041</v>
      </c>
      <c r="D6">
        <v>8</v>
      </c>
      <c r="E6">
        <v>715459</v>
      </c>
      <c r="F6">
        <v>69.59</v>
      </c>
      <c r="G6">
        <v>0</v>
      </c>
      <c r="H6">
        <v>0</v>
      </c>
      <c r="I6">
        <v>0</v>
      </c>
      <c r="J6">
        <v>0</v>
      </c>
      <c r="K6">
        <v>0</v>
      </c>
      <c r="L6">
        <v>52.42</v>
      </c>
      <c r="M6">
        <v>0</v>
      </c>
      <c r="N6">
        <v>0</v>
      </c>
      <c r="O6">
        <v>0</v>
      </c>
      <c r="P6">
        <v>0</v>
      </c>
      <c r="Q6">
        <v>0</v>
      </c>
      <c r="R6">
        <v>52.4</v>
      </c>
      <c r="V6">
        <v>715459</v>
      </c>
    </row>
    <row r="7" spans="1:28" x14ac:dyDescent="0.25">
      <c r="A7" t="s">
        <v>41</v>
      </c>
      <c r="B7">
        <v>716527.3</v>
      </c>
      <c r="C7">
        <v>248041</v>
      </c>
      <c r="D7">
        <v>12</v>
      </c>
      <c r="E7">
        <v>715459</v>
      </c>
      <c r="F7">
        <v>69.849999999999994</v>
      </c>
      <c r="G7">
        <v>0</v>
      </c>
      <c r="H7">
        <v>0</v>
      </c>
      <c r="I7">
        <v>0</v>
      </c>
      <c r="J7">
        <v>0</v>
      </c>
      <c r="K7">
        <v>0</v>
      </c>
      <c r="L7">
        <v>52.69</v>
      </c>
      <c r="M7">
        <v>0</v>
      </c>
      <c r="N7">
        <v>0</v>
      </c>
      <c r="O7">
        <v>0</v>
      </c>
      <c r="P7">
        <v>0</v>
      </c>
      <c r="Q7">
        <v>0</v>
      </c>
      <c r="R7">
        <v>52.7</v>
      </c>
      <c r="V7">
        <v>715459</v>
      </c>
    </row>
    <row r="8" spans="1:28" x14ac:dyDescent="0.25">
      <c r="A8" t="s">
        <v>42</v>
      </c>
      <c r="B8">
        <v>716373.4</v>
      </c>
      <c r="C8">
        <v>248261.6</v>
      </c>
      <c r="D8">
        <v>4</v>
      </c>
      <c r="E8">
        <v>702381</v>
      </c>
      <c r="F8">
        <v>89.11</v>
      </c>
      <c r="G8">
        <v>0</v>
      </c>
      <c r="H8">
        <v>0</v>
      </c>
      <c r="I8">
        <v>0</v>
      </c>
      <c r="J8">
        <v>0</v>
      </c>
      <c r="K8">
        <v>0</v>
      </c>
      <c r="L8">
        <v>71.95</v>
      </c>
      <c r="M8">
        <v>0</v>
      </c>
      <c r="N8">
        <v>0</v>
      </c>
      <c r="O8">
        <v>0</v>
      </c>
      <c r="P8">
        <v>0</v>
      </c>
      <c r="Q8">
        <v>0</v>
      </c>
      <c r="R8">
        <v>71.900000000000006</v>
      </c>
      <c r="V8">
        <v>702381</v>
      </c>
    </row>
    <row r="9" spans="1:28" x14ac:dyDescent="0.25">
      <c r="A9" t="s">
        <v>43</v>
      </c>
      <c r="B9">
        <v>716373.4</v>
      </c>
      <c r="C9">
        <v>248261.6</v>
      </c>
      <c r="D9">
        <v>8</v>
      </c>
      <c r="E9">
        <v>702381</v>
      </c>
      <c r="F9">
        <v>90.42</v>
      </c>
      <c r="G9">
        <v>0</v>
      </c>
      <c r="H9">
        <v>0</v>
      </c>
      <c r="I9">
        <v>0</v>
      </c>
      <c r="J9">
        <v>0</v>
      </c>
      <c r="K9">
        <v>0</v>
      </c>
      <c r="L9">
        <v>73.25</v>
      </c>
      <c r="M9">
        <v>0</v>
      </c>
      <c r="N9">
        <v>0</v>
      </c>
      <c r="O9">
        <v>0</v>
      </c>
      <c r="P9">
        <v>0</v>
      </c>
      <c r="Q9">
        <v>0</v>
      </c>
      <c r="R9">
        <v>73.3</v>
      </c>
      <c r="V9">
        <v>702381</v>
      </c>
    </row>
    <row r="10" spans="1:28" x14ac:dyDescent="0.25">
      <c r="A10" t="s">
        <v>44</v>
      </c>
      <c r="B10">
        <v>716043.3</v>
      </c>
      <c r="C10">
        <v>248216.3</v>
      </c>
      <c r="D10">
        <v>4</v>
      </c>
      <c r="E10">
        <v>696347</v>
      </c>
      <c r="F10">
        <v>81.599999999999994</v>
      </c>
      <c r="G10">
        <v>0</v>
      </c>
      <c r="H10">
        <v>0</v>
      </c>
      <c r="I10">
        <v>0</v>
      </c>
      <c r="J10">
        <v>0</v>
      </c>
      <c r="K10">
        <v>0</v>
      </c>
      <c r="L10">
        <v>64.430000000000007</v>
      </c>
      <c r="M10">
        <v>0</v>
      </c>
      <c r="N10">
        <v>0</v>
      </c>
      <c r="O10">
        <v>0</v>
      </c>
      <c r="P10">
        <v>0</v>
      </c>
      <c r="Q10">
        <v>0</v>
      </c>
      <c r="R10">
        <v>64.400000000000006</v>
      </c>
      <c r="V10">
        <v>696347</v>
      </c>
    </row>
    <row r="11" spans="1:28" x14ac:dyDescent="0.25">
      <c r="A11" t="s">
        <v>45</v>
      </c>
      <c r="B11">
        <v>715848.8</v>
      </c>
      <c r="C11">
        <v>248571.1</v>
      </c>
      <c r="D11">
        <v>4</v>
      </c>
      <c r="E11">
        <v>710249</v>
      </c>
      <c r="F11">
        <v>61.26</v>
      </c>
      <c r="G11">
        <v>0</v>
      </c>
      <c r="H11">
        <v>0</v>
      </c>
      <c r="I11">
        <v>0</v>
      </c>
      <c r="J11">
        <v>0</v>
      </c>
      <c r="K11">
        <v>0</v>
      </c>
      <c r="L11">
        <v>44.09</v>
      </c>
      <c r="M11">
        <v>0</v>
      </c>
      <c r="N11">
        <v>0</v>
      </c>
      <c r="O11">
        <v>0</v>
      </c>
      <c r="P11">
        <v>0</v>
      </c>
      <c r="Q11">
        <v>0</v>
      </c>
      <c r="R11">
        <v>44.1</v>
      </c>
      <c r="V11">
        <v>710249</v>
      </c>
    </row>
    <row r="12" spans="1:28" x14ac:dyDescent="0.25">
      <c r="A12" t="s">
        <v>46</v>
      </c>
      <c r="B12">
        <v>716482.9</v>
      </c>
      <c r="C12">
        <v>249015.2</v>
      </c>
      <c r="D12">
        <v>4</v>
      </c>
      <c r="E12">
        <v>691176</v>
      </c>
      <c r="F12">
        <v>45.21</v>
      </c>
      <c r="G12">
        <v>0</v>
      </c>
      <c r="H12">
        <v>0</v>
      </c>
      <c r="I12">
        <v>0</v>
      </c>
      <c r="J12">
        <v>0</v>
      </c>
      <c r="K12">
        <v>0</v>
      </c>
      <c r="L12">
        <v>28.05</v>
      </c>
      <c r="M12">
        <v>0</v>
      </c>
      <c r="N12">
        <v>0</v>
      </c>
      <c r="O12">
        <v>0</v>
      </c>
      <c r="P12">
        <v>0</v>
      </c>
      <c r="Q12">
        <v>0</v>
      </c>
      <c r="R12">
        <v>28</v>
      </c>
      <c r="V12">
        <v>691176</v>
      </c>
    </row>
    <row r="13" spans="1:28" x14ac:dyDescent="0.25">
      <c r="A13" t="s">
        <v>47</v>
      </c>
      <c r="B13">
        <v>716688.1</v>
      </c>
      <c r="C13">
        <v>248550</v>
      </c>
      <c r="D13">
        <v>4</v>
      </c>
      <c r="E13">
        <v>697844</v>
      </c>
      <c r="F13">
        <v>85.17</v>
      </c>
      <c r="G13">
        <v>0</v>
      </c>
      <c r="H13">
        <v>0</v>
      </c>
      <c r="I13">
        <v>0</v>
      </c>
      <c r="J13">
        <v>0</v>
      </c>
      <c r="K13">
        <v>0</v>
      </c>
      <c r="L13">
        <v>68.010000000000005</v>
      </c>
      <c r="M13">
        <v>0</v>
      </c>
      <c r="N13">
        <v>0</v>
      </c>
      <c r="O13">
        <v>0</v>
      </c>
      <c r="P13">
        <v>0</v>
      </c>
      <c r="Q13">
        <v>0</v>
      </c>
      <c r="R13">
        <v>68</v>
      </c>
      <c r="V13">
        <v>697844</v>
      </c>
    </row>
    <row r="14" spans="1:28" x14ac:dyDescent="0.25">
      <c r="A14" t="s">
        <v>338</v>
      </c>
    </row>
    <row r="16" spans="1:28" x14ac:dyDescent="0.25">
      <c r="A16" t="s">
        <v>439</v>
      </c>
    </row>
    <row r="17" spans="1:1" x14ac:dyDescent="0.25">
      <c r="A17" t="s">
        <v>438</v>
      </c>
    </row>
    <row r="18" spans="1:1" x14ac:dyDescent="0.25">
      <c r="A18" t="s">
        <v>437</v>
      </c>
    </row>
    <row r="19" spans="1:1" x14ac:dyDescent="0.25">
      <c r="A19" t="s">
        <v>414</v>
      </c>
    </row>
    <row r="20" spans="1:1" x14ac:dyDescent="0.25">
      <c r="A20" t="s">
        <v>413</v>
      </c>
    </row>
    <row r="21" spans="1:1" x14ac:dyDescent="0.25">
      <c r="A21" t="s">
        <v>436</v>
      </c>
    </row>
    <row r="22" spans="1:1" x14ac:dyDescent="0.25">
      <c r="A22" t="s">
        <v>435</v>
      </c>
    </row>
    <row r="23" spans="1:1" x14ac:dyDescent="0.25">
      <c r="A23" t="s">
        <v>408</v>
      </c>
    </row>
    <row r="24" spans="1:1" x14ac:dyDescent="0.25">
      <c r="A24" t="s">
        <v>410</v>
      </c>
    </row>
    <row r="25" spans="1:1" x14ac:dyDescent="0.25">
      <c r="A25" t="s">
        <v>408</v>
      </c>
    </row>
    <row r="26" spans="1:1" x14ac:dyDescent="0.25">
      <c r="A26" t="s">
        <v>434</v>
      </c>
    </row>
    <row r="27" spans="1:1" x14ac:dyDescent="0.25">
      <c r="A27" t="s">
        <v>408</v>
      </c>
    </row>
    <row r="28" spans="1:1" x14ac:dyDescent="0.25">
      <c r="A28" t="s">
        <v>407</v>
      </c>
    </row>
    <row r="29" spans="1:1" x14ac:dyDescent="0.25">
      <c r="A29" t="s">
        <v>433</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CACBD-A89C-4DDC-A910-69BC652B11FB}">
  <sheetPr codeName="Tabelle8">
    <tabColor rgb="FFFF0000"/>
  </sheetPr>
  <dimension ref="A1:R27"/>
  <sheetViews>
    <sheetView workbookViewId="0">
      <selection activeCell="F3" sqref="F3"/>
    </sheetView>
  </sheetViews>
  <sheetFormatPr baseColWidth="10" defaultRowHeight="14.25" x14ac:dyDescent="0.25"/>
  <sheetData>
    <row r="1" spans="1:18" x14ac:dyDescent="0.25">
      <c r="A1" t="s">
        <v>432</v>
      </c>
      <c r="B1" t="s">
        <v>431</v>
      </c>
      <c r="C1" t="s">
        <v>430</v>
      </c>
      <c r="D1" t="s">
        <v>429</v>
      </c>
      <c r="E1" t="s">
        <v>20</v>
      </c>
      <c r="F1" s="1" t="s">
        <v>428</v>
      </c>
      <c r="G1" s="1" t="s">
        <v>427</v>
      </c>
      <c r="H1" s="1" t="s">
        <v>426</v>
      </c>
      <c r="I1" t="s">
        <v>425</v>
      </c>
      <c r="J1" t="s">
        <v>424</v>
      </c>
      <c r="K1" t="s">
        <v>423</v>
      </c>
      <c r="L1" t="s">
        <v>422</v>
      </c>
      <c r="M1" t="s">
        <v>421</v>
      </c>
      <c r="N1" t="s">
        <v>420</v>
      </c>
      <c r="O1" t="s">
        <v>419</v>
      </c>
      <c r="P1" t="s">
        <v>418</v>
      </c>
      <c r="Q1" t="s">
        <v>417</v>
      </c>
      <c r="R1" t="s">
        <v>416</v>
      </c>
    </row>
    <row r="2" spans="1:18" x14ac:dyDescent="0.25">
      <c r="A2" t="s">
        <v>29</v>
      </c>
      <c r="B2">
        <v>716653.9</v>
      </c>
      <c r="C2">
        <v>248246.8</v>
      </c>
      <c r="D2">
        <v>4</v>
      </c>
      <c r="E2">
        <v>696190</v>
      </c>
      <c r="F2" s="2" cm="1">
        <f t="array" ref="F2">GEMW(OpData_DemoProj_A9!$B$10:$B$13,sonARMS_Demo_Day!$I$35:$I$38)+10*LOG(SUM(OpData_DemoProj_A9!$B$10:$B$13))</f>
        <v>116.06120988607783</v>
      </c>
      <c r="G2" s="2" cm="1">
        <f t="array" ref="G2">GEMW(OpData_DemoProj_A9!$C$10:$C$13,sonARMS_Demo_Eve!$I$35:$I$38)+10*LOG(SUM(OpData_DemoProj_A9!$C$10:$C$13))+5</f>
        <v>102.24086760543716</v>
      </c>
      <c r="H2" s="4" cm="1">
        <f t="array" ref="H2">esm(F2:G2)-10*LOG(52*5*12*60*60)+15</f>
        <v>60.733198880603851</v>
      </c>
      <c r="L2">
        <v>696190</v>
      </c>
    </row>
    <row r="3" spans="1:18" x14ac:dyDescent="0.25">
      <c r="A3" t="s">
        <v>37</v>
      </c>
      <c r="B3">
        <v>716666.2</v>
      </c>
      <c r="C3">
        <v>248206.8</v>
      </c>
      <c r="D3">
        <v>4</v>
      </c>
      <c r="E3">
        <v>696367</v>
      </c>
      <c r="F3" s="2" cm="1">
        <f t="array" ref="F3">GEMW(OpData_DemoProj_A9!$B$10:$B$13,sonARMS_Demo_Day!$I$39:$I$42)+10*LOG(SUM(OpData_DemoProj_A9!$B$10:$B$13))</f>
        <v>107.07851499610923</v>
      </c>
      <c r="G3" s="2" cm="1">
        <f t="array" ref="G3">GEMW(OpData_DemoProj_A9!$C$10:$C$13,sonARMS_Demo_Eve!$I$39:$I$42)+10*LOG(SUM(OpData_DemoProj_A9!$C$10:$C$13))+5</f>
        <v>93.527163416625172</v>
      </c>
      <c r="H3" s="4" cm="1">
        <f t="array" ref="H3">esm(F3:G3)-10*LOG(52*5*12*60*60)+15</f>
        <v>51.76154512824705</v>
      </c>
      <c r="L3">
        <v>696367</v>
      </c>
    </row>
    <row r="4" spans="1:18" x14ac:dyDescent="0.25">
      <c r="A4" t="s">
        <v>38</v>
      </c>
      <c r="B4">
        <v>716670.1</v>
      </c>
      <c r="C4">
        <v>247965.8</v>
      </c>
      <c r="D4">
        <v>4</v>
      </c>
      <c r="E4">
        <v>726653</v>
      </c>
      <c r="F4" s="2" cm="1">
        <f t="array" ref="F4">GEMW(OpData_DemoProj_A9!$B$10:$B$13,sonARMS_Demo_Day!$I$43:$I$46)+10*LOG(SUM(OpData_DemoProj_A9!$B$10:$B$13))</f>
        <v>101.93385477961331</v>
      </c>
      <c r="G4" s="2" cm="1">
        <f t="array" ref="G4">GEMW(OpData_DemoProj_A9!$C$10:$C$13,sonARMS_Demo_Eve!$I$43:$I$46)+10*LOG(SUM(OpData_DemoProj_A9!$C$10:$C$13))+5</f>
        <v>88.236752537070032</v>
      </c>
      <c r="H4" s="4" cm="1">
        <f t="array" ref="H4">esm(F4:G4)-10*LOG(52*5*12*60*60)+15</f>
        <v>46.610821022232187</v>
      </c>
      <c r="L4">
        <v>726653</v>
      </c>
    </row>
    <row r="5" spans="1:18" x14ac:dyDescent="0.25">
      <c r="A5" t="s">
        <v>39</v>
      </c>
      <c r="B5">
        <v>716527.3</v>
      </c>
      <c r="C5">
        <v>248041</v>
      </c>
      <c r="D5">
        <v>4</v>
      </c>
      <c r="E5">
        <v>715459</v>
      </c>
      <c r="F5" s="2" cm="1">
        <f t="array" ref="F5">GEMW(OpData_DemoProj_A9!$B$10:$B$13,sonARMS_Demo_Day!$I$47:$I$50)+10*LOG(SUM(OpData_DemoProj_A9!$B$10:$B$13))</f>
        <v>97.129651124419482</v>
      </c>
      <c r="G5" s="2" cm="1">
        <f t="array" ref="G5">GEMW(OpData_DemoProj_A9!$C$10:$C$13,sonARMS_Demo_Eve!$I$47:$I$50)+10*LOG(SUM(OpData_DemoProj_A9!$C$10:$C$13))+5</f>
        <v>83.445507821117729</v>
      </c>
      <c r="H5" s="4" cm="1">
        <f t="array" ref="H5">esm(F5:G5)-10*LOG(52*5*12*60*60)+15</f>
        <v>41.80714865142609</v>
      </c>
      <c r="L5">
        <v>715459</v>
      </c>
    </row>
    <row r="6" spans="1:18" x14ac:dyDescent="0.25">
      <c r="A6" t="s">
        <v>40</v>
      </c>
      <c r="B6">
        <v>716527.3</v>
      </c>
      <c r="C6">
        <v>248041</v>
      </c>
      <c r="D6">
        <v>8</v>
      </c>
      <c r="E6">
        <v>715459</v>
      </c>
      <c r="F6" s="2" cm="1">
        <f t="array" ref="F6">GEMW(OpData_DemoProj_A9!$B$10:$B$13,sonARMS_Demo_Day!$I$51:$I$54)+10*LOG(SUM(OpData_DemoProj_A9!$B$10:$B$13))</f>
        <v>96.597499465529694</v>
      </c>
      <c r="G6" s="2" cm="1">
        <f t="array" ref="G6">GEMW(OpData_DemoProj_A9!$C$10:$C$13,sonARMS_Demo_Eve!$I$51:$I$54)+10*LOG(SUM(OpData_DemoProj_A9!$C$10:$C$13))+5</f>
        <v>82.916260122108795</v>
      </c>
      <c r="H6" s="4" cm="1">
        <f t="array" ref="H6">esm(F6:G6)-10*LOG(52*5*12*60*60)+15</f>
        <v>41.27511625634574</v>
      </c>
      <c r="L6">
        <v>715459</v>
      </c>
    </row>
    <row r="7" spans="1:18" x14ac:dyDescent="0.25">
      <c r="A7" t="s">
        <v>41</v>
      </c>
      <c r="B7">
        <v>716527.3</v>
      </c>
      <c r="C7">
        <v>248041</v>
      </c>
      <c r="D7">
        <v>12</v>
      </c>
      <c r="E7">
        <v>715459</v>
      </c>
      <c r="F7" s="2" cm="1">
        <f t="array" ref="F7">GEMW(OpData_DemoProj_A9!$B$10:$B$13,sonARMS_Demo_Day!$I$55:$I$58)+10*LOG(SUM(OpData_DemoProj_A9!$B$10:$B$13))</f>
        <v>96.705192967726916</v>
      </c>
      <c r="G7" s="2" cm="1">
        <f t="array" ref="G7">GEMW(OpData_DemoProj_A9!$C$10:$C$13,sonARMS_Demo_Eve!$I$55:$I$58)+10*LOG(SUM(OpData_DemoProj_A9!$C$10:$C$13))+5</f>
        <v>83.034629335166557</v>
      </c>
      <c r="H7" s="4" cm="1">
        <f t="array" ref="H7">esm(F7:G7)-10*LOG(52*5*12*60*60)+15</f>
        <v>41.383248861168866</v>
      </c>
      <c r="L7">
        <v>715459</v>
      </c>
    </row>
    <row r="8" spans="1:18" x14ac:dyDescent="0.25">
      <c r="A8" t="s">
        <v>42</v>
      </c>
      <c r="B8">
        <v>716373.4</v>
      </c>
      <c r="C8">
        <v>248261.6</v>
      </c>
      <c r="D8">
        <v>4</v>
      </c>
      <c r="E8">
        <v>702381</v>
      </c>
      <c r="F8" s="2" cm="1">
        <f t="array" ref="F8">GEMW(OpData_DemoProj_A9!$B$10:$B$13,sonARMS_Demo_Day!$I$59:$I$62)+10*LOG(SUM(OpData_DemoProj_A9!$B$10:$B$13))</f>
        <v>115.92950797589165</v>
      </c>
      <c r="G8" s="2" cm="1">
        <f t="array" ref="G8">GEMW(OpData_DemoProj_A9!$C$10:$C$13,sonARMS_Demo_Eve!$I$59:$I$62)+10*LOG(SUM(OpData_DemoProj_A9!$C$10:$C$13))+5</f>
        <v>102.05623472109366</v>
      </c>
      <c r="H8" s="4" cm="1">
        <f t="array" ref="H8">esm(F8:G8)-10*LOG(52*5*12*60*60)+15</f>
        <v>60.599400539184785</v>
      </c>
      <c r="L8">
        <v>702381</v>
      </c>
    </row>
    <row r="9" spans="1:18" x14ac:dyDescent="0.25">
      <c r="A9" t="s">
        <v>43</v>
      </c>
      <c r="B9">
        <v>716373.4</v>
      </c>
      <c r="C9">
        <v>248261.6</v>
      </c>
      <c r="D9">
        <v>8</v>
      </c>
      <c r="E9">
        <v>702381</v>
      </c>
      <c r="F9" s="2" cm="1">
        <f t="array" ref="F9">GEMW(OpData_DemoProj_A9!$B$10:$B$13,sonARMS_Demo_Day!$I$63:$I$66)+10*LOG(SUM(OpData_DemoProj_A9!$B$10:$B$13))</f>
        <v>117.1318960979868</v>
      </c>
      <c r="G9" s="2" cm="1">
        <f t="array" ref="G9">GEMW(OpData_DemoProj_A9!$C$10:$C$13,sonARMS_Demo_Eve!$I$63:$I$66)+10*LOG(SUM(OpData_DemoProj_A9!$C$10:$C$13))+5</f>
        <v>103.23254636107001</v>
      </c>
      <c r="H9" s="4" cm="1">
        <f t="array" ref="H9">esm(F9:G9)-10*LOG(52*5*12*60*60)+15</f>
        <v>61.800764841905831</v>
      </c>
      <c r="L9">
        <v>702381</v>
      </c>
    </row>
    <row r="10" spans="1:18" x14ac:dyDescent="0.25">
      <c r="A10" t="s">
        <v>44</v>
      </c>
      <c r="B10">
        <v>716043.3</v>
      </c>
      <c r="C10">
        <v>248216.3</v>
      </c>
      <c r="D10">
        <v>4</v>
      </c>
      <c r="E10">
        <v>696347</v>
      </c>
      <c r="F10" s="2" cm="1">
        <f t="array" ref="F10">GEMW(OpData_DemoProj_A9!$B$10:$B$13,sonARMS_Demo_Day!$I$67:$I$70)+10*LOG(SUM(OpData_DemoProj_A9!$B$10:$B$13))</f>
        <v>108.42306381061636</v>
      </c>
      <c r="G10" s="2" cm="1">
        <f t="array" ref="G10">GEMW(OpData_DemoProj_A9!$C$10:$C$13,sonARMS_Demo_Eve!$I$67:$I$70)+10*LOG(SUM(OpData_DemoProj_A9!$C$10:$C$13))+5</f>
        <v>94.564924700336348</v>
      </c>
      <c r="H10" s="4" cm="1">
        <f t="array" ref="H10">esm(F10:G10)-10*LOG(52*5*12*60*60)+15</f>
        <v>53.093553287244561</v>
      </c>
      <c r="L10">
        <v>696347</v>
      </c>
    </row>
    <row r="11" spans="1:18" x14ac:dyDescent="0.25">
      <c r="A11" t="s">
        <v>45</v>
      </c>
      <c r="B11">
        <v>715848.8</v>
      </c>
      <c r="C11">
        <v>248571.1</v>
      </c>
      <c r="D11">
        <v>4</v>
      </c>
      <c r="E11">
        <v>710249</v>
      </c>
      <c r="F11" s="2" cm="1">
        <f t="array" ref="F11">GEMW(OpData_DemoProj_A9!$B$10:$B$13,sonARMS_Demo_Day!$I$71:$I$74)+10*LOG(SUM(OpData_DemoProj_A9!$B$10:$B$13))</f>
        <v>86.260949740391609</v>
      </c>
      <c r="G11" s="2" cm="1">
        <f t="array" ref="G11">GEMW(OpData_DemoProj_A9!$C$10:$C$13,sonARMS_Demo_Eve!$I$71:$I$74)+10*LOG(SUM(OpData_DemoProj_A9!$C$10:$C$13))+5</f>
        <v>72.952680302373579</v>
      </c>
      <c r="H11" s="4" cm="1">
        <f t="array" ref="H11">esm(F11:G11)-10*LOG(52*5*12*60*60)+15</f>
        <v>30.954536875087655</v>
      </c>
      <c r="L11">
        <v>710249</v>
      </c>
    </row>
    <row r="12" spans="1:18" x14ac:dyDescent="0.25">
      <c r="A12" t="s">
        <v>46</v>
      </c>
      <c r="B12">
        <v>716482.9</v>
      </c>
      <c r="C12">
        <v>249015.2</v>
      </c>
      <c r="D12">
        <v>4</v>
      </c>
      <c r="E12">
        <v>691176</v>
      </c>
      <c r="F12" s="2" cm="1">
        <f t="array" ref="F12">GEMW(OpData_DemoProj_A9!$B$10:$B$13,sonARMS_Demo_Day!$I$75:$I$78)+10*LOG(SUM(OpData_DemoProj_A9!$B$10:$B$13))</f>
        <v>69.84162577886211</v>
      </c>
      <c r="G12" s="2" cm="1">
        <f t="array" ref="G12">GEMW(OpData_DemoProj_A9!$C$10:$C$13,sonARMS_Demo_Eve!$I$75:$I$78)+10*LOG(SUM(OpData_DemoProj_A9!$C$10:$C$13))+5</f>
        <v>56.552245074075991</v>
      </c>
      <c r="H12" s="4" cm="1">
        <f t="array" ref="H12">esm(F12:G12)-10*LOG(52*5*12*60*60)+15</f>
        <v>14.536057147186852</v>
      </c>
      <c r="L12">
        <v>691176</v>
      </c>
    </row>
    <row r="13" spans="1:18" x14ac:dyDescent="0.25">
      <c r="A13" t="s">
        <v>47</v>
      </c>
      <c r="B13">
        <v>716688.1</v>
      </c>
      <c r="C13">
        <v>248550</v>
      </c>
      <c r="D13">
        <v>4</v>
      </c>
      <c r="E13">
        <v>697844</v>
      </c>
      <c r="F13" s="2" cm="1">
        <f t="array" ref="F13">GEMW(OpData_DemoProj_A9!$B$10:$B$13,sonARMS_Demo_Day!$I$79:$I$82)+10*LOG(SUM(OpData_DemoProj_A9!$B$10:$B$13))</f>
        <v>108.19804131896227</v>
      </c>
      <c r="G13" s="2" cm="1">
        <f t="array" ref="G13">GEMW(OpData_DemoProj_A9!$C$10:$C$13,sonARMS_Demo_Eve!$I$79:$I$82)+10*LOG(SUM(OpData_DemoProj_A9!$C$10:$C$13))+5</f>
        <v>95.390673701631357</v>
      </c>
      <c r="H13" s="4" cm="1">
        <f t="array" ref="H13">esm(F13:G13)-10*LOG(52*5*12*60*60)+15</f>
        <v>52.915244885658495</v>
      </c>
      <c r="L13">
        <v>697844</v>
      </c>
    </row>
    <row r="14" spans="1:18" x14ac:dyDescent="0.25">
      <c r="A14" t="s">
        <v>338</v>
      </c>
    </row>
    <row r="16" spans="1:18" x14ac:dyDescent="0.25">
      <c r="A16" t="s">
        <v>415</v>
      </c>
    </row>
    <row r="17" spans="1:11" x14ac:dyDescent="0.25">
      <c r="A17" t="s">
        <v>414</v>
      </c>
    </row>
    <row r="18" spans="1:11" x14ac:dyDescent="0.25">
      <c r="A18" t="s">
        <v>413</v>
      </c>
    </row>
    <row r="19" spans="1:11" x14ac:dyDescent="0.25">
      <c r="A19" t="s">
        <v>412</v>
      </c>
    </row>
    <row r="20" spans="1:11" x14ac:dyDescent="0.25">
      <c r="A20" t="s">
        <v>411</v>
      </c>
    </row>
    <row r="21" spans="1:11" x14ac:dyDescent="0.25">
      <c r="A21" t="s">
        <v>408</v>
      </c>
      <c r="K21" s="3"/>
    </row>
    <row r="22" spans="1:11" x14ac:dyDescent="0.25">
      <c r="A22" t="s">
        <v>410</v>
      </c>
    </row>
    <row r="23" spans="1:11" x14ac:dyDescent="0.25">
      <c r="A23" t="s">
        <v>408</v>
      </c>
    </row>
    <row r="24" spans="1:11" x14ac:dyDescent="0.25">
      <c r="A24" t="s">
        <v>409</v>
      </c>
    </row>
    <row r="25" spans="1:11" x14ac:dyDescent="0.25">
      <c r="A25" t="s">
        <v>408</v>
      </c>
    </row>
    <row r="26" spans="1:11" x14ac:dyDescent="0.25">
      <c r="A26" t="s">
        <v>407</v>
      </c>
    </row>
    <row r="27" spans="1:11" x14ac:dyDescent="0.25">
      <c r="A27" t="s">
        <v>406</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B7ABE-41D1-4D4B-9D4D-657558C95A73}">
  <sheetPr codeName="Tabelle9">
    <tabColor rgb="FFFF0000"/>
  </sheetPr>
  <dimension ref="A1:AB29"/>
  <sheetViews>
    <sheetView workbookViewId="0">
      <selection activeCell="N19" sqref="N19"/>
    </sheetView>
  </sheetViews>
  <sheetFormatPr baseColWidth="10" defaultRowHeight="14.25" x14ac:dyDescent="0.25"/>
  <cols>
    <col min="9" max="9" width="12.28515625" bestFit="1" customWidth="1"/>
  </cols>
  <sheetData>
    <row r="1" spans="1:28" x14ac:dyDescent="0.25">
      <c r="A1" t="s">
        <v>432</v>
      </c>
      <c r="B1" t="s">
        <v>431</v>
      </c>
      <c r="C1" t="s">
        <v>430</v>
      </c>
      <c r="D1" t="s">
        <v>429</v>
      </c>
      <c r="E1" t="s">
        <v>20</v>
      </c>
      <c r="F1" s="1" t="s">
        <v>451</v>
      </c>
      <c r="G1" s="1" t="s">
        <v>450</v>
      </c>
      <c r="H1" s="1" t="s">
        <v>449</v>
      </c>
      <c r="I1" s="1" t="s">
        <v>448</v>
      </c>
      <c r="J1" s="1" t="s">
        <v>447</v>
      </c>
      <c r="K1" s="1" t="s">
        <v>446</v>
      </c>
      <c r="L1" s="1" t="s">
        <v>445</v>
      </c>
      <c r="M1" s="1" t="s">
        <v>444</v>
      </c>
      <c r="N1" s="1" t="s">
        <v>443</v>
      </c>
      <c r="O1" s="1" t="s">
        <v>442</v>
      </c>
      <c r="P1" s="1" t="s">
        <v>441</v>
      </c>
      <c r="Q1" s="1" t="s">
        <v>440</v>
      </c>
      <c r="R1" s="1" t="s">
        <v>426</v>
      </c>
      <c r="S1" t="s">
        <v>425</v>
      </c>
      <c r="T1" t="s">
        <v>424</v>
      </c>
      <c r="U1" t="s">
        <v>423</v>
      </c>
      <c r="V1" t="s">
        <v>422</v>
      </c>
      <c r="W1" t="s">
        <v>421</v>
      </c>
      <c r="X1" t="s">
        <v>420</v>
      </c>
      <c r="Y1" t="s">
        <v>419</v>
      </c>
      <c r="Z1" t="s">
        <v>418</v>
      </c>
      <c r="AA1" t="s">
        <v>417</v>
      </c>
      <c r="AB1" t="s">
        <v>416</v>
      </c>
    </row>
    <row r="2" spans="1:28" x14ac:dyDescent="0.25">
      <c r="A2" t="s">
        <v>29</v>
      </c>
      <c r="B2">
        <v>716653.9</v>
      </c>
      <c r="C2">
        <v>248246.8</v>
      </c>
      <c r="D2">
        <v>4</v>
      </c>
      <c r="E2">
        <v>696190</v>
      </c>
      <c r="F2" s="2" cm="1">
        <f t="array" ref="F2">GEMW(OpData_DemoProj_A7!$B$18:$B$21,sonARMS_Demo_Day!$J$35:$J$38)</f>
        <v>90.915825718006033</v>
      </c>
      <c r="G2" s="2" cm="1">
        <f t="array" ref="G2">GEMW(OpData_DemoProj_A7!$C$18:$C$21,sonARMS_Demo_Day!$J$35:$J$38)</f>
        <v>-99</v>
      </c>
      <c r="H2" s="2" cm="1">
        <f t="array" ref="H2">GEMW(OpData_DemoProj_A7!$D$18:$D$21,sonARMS_Demo_Day!$J$35:$J$38)</f>
        <v>-99</v>
      </c>
      <c r="I2" s="2" cm="1">
        <f t="array" ref="I2">GEMW(OpData_DemoProj_A7!$E$18:$E$21,sonARMS_Demo_Day!$J$35:$J$38)</f>
        <v>-99</v>
      </c>
      <c r="J2" s="2" cm="1">
        <f t="array" ref="J2">GEMW(OpData_DemoProj_A7!$F$18:$F$21,sonARMS_Demo_Day!$J$35:$J$38)</f>
        <v>-99</v>
      </c>
      <c r="K2" s="2" cm="1">
        <f t="array" ref="K2">GEMW(OpData_DemoProj_A7!$G$18:$G$21,sonARMS_Demo_Day!$J$35:$J$38)</f>
        <v>-99</v>
      </c>
      <c r="L2" s="2">
        <f>F2+10*LOG(OpData_DemoProj_A7!B$15+3*OpData_DemoProj_A7!B$16)+3*LOG(SUM(OpData_DemoProj_A7!B$18:B$21))-44</f>
        <v>73.750606162412481</v>
      </c>
      <c r="M2" s="2">
        <f>IF(G2=-99,0,G2+10*LOG(OpData_DemoProj_A7!C$15+3*OpData_DemoProj_A7!C$16)+3*LOG(SUM(OpData_DemoProj_A7!C$18:C$21))-44)</f>
        <v>0</v>
      </c>
      <c r="N2" s="2">
        <f>IF(H2=-99,0,H2+10*LOG(OpData_DemoProj_A7!D$15+3*OpData_DemoProj_A7!D$16)+3*LOG(SUM(OpData_DemoProj_A7!D$18:D$21))-44)</f>
        <v>0</v>
      </c>
      <c r="O2" s="2">
        <f>IF(I2=-99,0,I2+10*LOG(OpData_DemoProj_A7!E$15+3*OpData_DemoProj_A7!E$16)+3*LOG(SUM(OpData_DemoProj_A7!E$18:E$21))-44)</f>
        <v>0</v>
      </c>
      <c r="P2" s="2">
        <f>IF(J2=-99,0,J2+10*LOG(OpData_DemoProj_A7!F$15+3*OpData_DemoProj_A7!F$16)+3*LOG(SUM(OpData_DemoProj_A7!F$18:F$21))-44)</f>
        <v>0</v>
      </c>
      <c r="Q2" s="2">
        <f>IF(K2=-99,0,K2+10*LOG(OpData_DemoProj_A7!G$15+3*OpData_DemoProj_A7!G$16)+3*LOG(SUM(OpData_DemoProj_A7!G$18:G$21))-44)</f>
        <v>0</v>
      </c>
      <c r="R2" s="4" cm="1">
        <f t="array" ref="R2">esm(L2:Q2)</f>
        <v>73.750607077986913</v>
      </c>
      <c r="V2">
        <v>696190</v>
      </c>
    </row>
    <row r="3" spans="1:28" x14ac:dyDescent="0.25">
      <c r="A3" t="s">
        <v>37</v>
      </c>
      <c r="B3">
        <v>716666.2</v>
      </c>
      <c r="C3">
        <v>248206.8</v>
      </c>
      <c r="D3">
        <v>4</v>
      </c>
      <c r="E3">
        <v>696367</v>
      </c>
      <c r="F3" s="2" cm="1">
        <f t="array" ref="F3">GEMW(OpData_DemoProj_A7!$B$18:$B$21,sonARMS_Demo_Day!$J$39:$J$42)</f>
        <v>83.44552724648247</v>
      </c>
      <c r="G3" s="2" cm="1">
        <f t="array" ref="G3">GEMW(OpData_DemoProj_A7!$C$18:$C$21,sonARMS_Demo_Day!$J$39:$J$42)</f>
        <v>-99</v>
      </c>
      <c r="H3" s="2" cm="1">
        <f t="array" ref="H3">GEMW(OpData_DemoProj_A7!$D$18:$D$21,sonARMS_Demo_Day!$J$39:$J$42)</f>
        <v>-99</v>
      </c>
      <c r="I3" s="2" cm="1">
        <f t="array" ref="I3">GEMW(OpData_DemoProj_A7!$E$18:$E$21,sonARMS_Demo_Day!$J$39:$J$42)</f>
        <v>-99</v>
      </c>
      <c r="J3" s="2" cm="1">
        <f t="array" ref="J3">GEMW(OpData_DemoProj_A7!$F$18:$F$21,sonARMS_Demo_Day!$J$39:$J$42)</f>
        <v>-99</v>
      </c>
      <c r="K3" s="2" cm="1">
        <f t="array" ref="K3">GEMW(OpData_DemoProj_A7!$G$18:$G$21,sonARMS_Demo_Day!$J$39:$J$42)</f>
        <v>-99</v>
      </c>
      <c r="L3" s="2">
        <f>F3+10*LOG(OpData_DemoProj_A7!B$15+3*OpData_DemoProj_A7!B$16)+3*LOG(SUM(OpData_DemoProj_A7!B$18:B$21))-44</f>
        <v>66.280307690888918</v>
      </c>
      <c r="M3" s="2">
        <f>IF(G3=-99,0,G3+10*LOG(OpData_DemoProj_A7!C$15+3*OpData_DemoProj_A7!C$16)+3*LOG(SUM(OpData_DemoProj_A7!C$18:C$21))-44)</f>
        <v>0</v>
      </c>
      <c r="N3" s="2">
        <f>IF(H3=-99,0,H3+10*LOG(OpData_DemoProj_A7!D$15+3*OpData_DemoProj_A7!D$16)+3*LOG(SUM(OpData_DemoProj_A7!D$18:D$21))-44)</f>
        <v>0</v>
      </c>
      <c r="O3" s="2">
        <f>IF(I3=-99,0,I3+10*LOG(OpData_DemoProj_A7!E$15+3*OpData_DemoProj_A7!E$16)+3*LOG(SUM(OpData_DemoProj_A7!E$18:E$21))-44)</f>
        <v>0</v>
      </c>
      <c r="P3" s="2">
        <f>IF(J3=-99,0,J3+10*LOG(OpData_DemoProj_A7!F$15+3*OpData_DemoProj_A7!F$16)+3*LOG(SUM(OpData_DemoProj_A7!F$18:F$21))-44)</f>
        <v>0</v>
      </c>
      <c r="Q3" s="2">
        <f>IF(K3=-99,0,K3+10*LOG(OpData_DemoProj_A7!G$15+3*OpData_DemoProj_A7!G$16)+3*LOG(SUM(OpData_DemoProj_A7!G$18:G$21))-44)</f>
        <v>0</v>
      </c>
      <c r="R3" s="4" cm="1">
        <f t="array" ref="R3">esm(L3:Q3)</f>
        <v>66.280312804448144</v>
      </c>
      <c r="V3">
        <v>696367</v>
      </c>
    </row>
    <row r="4" spans="1:28" x14ac:dyDescent="0.25">
      <c r="A4" t="s">
        <v>38</v>
      </c>
      <c r="B4">
        <v>716670.1</v>
      </c>
      <c r="C4">
        <v>247965.8</v>
      </c>
      <c r="D4">
        <v>4</v>
      </c>
      <c r="E4">
        <v>726653</v>
      </c>
      <c r="F4" s="2" cm="1">
        <f t="array" ref="F4">GEMW(OpData_DemoProj_A7!$B$18:$B$21,sonARMS_Demo_Day!$J$43:$J$46)</f>
        <v>77.638618309868932</v>
      </c>
      <c r="G4" s="2" cm="1">
        <f t="array" ref="G4">GEMW(OpData_DemoProj_A7!$C$18:$C$21,sonARMS_Demo_Day!$J$43:$J$46)</f>
        <v>-99</v>
      </c>
      <c r="H4" s="2" cm="1">
        <f t="array" ref="H4">GEMW(OpData_DemoProj_A7!$D$18:$D$21,sonARMS_Demo_Day!$J$43:$J$46)</f>
        <v>-99</v>
      </c>
      <c r="I4" s="2" cm="1">
        <f t="array" ref="I4">GEMW(OpData_DemoProj_A7!$E$18:$E$21,sonARMS_Demo_Day!$J$43:$J$46)</f>
        <v>-99</v>
      </c>
      <c r="J4" s="2" cm="1">
        <f t="array" ref="J4">GEMW(OpData_DemoProj_A7!$F$18:$F$21,sonARMS_Demo_Day!$J$43:$J$46)</f>
        <v>-99</v>
      </c>
      <c r="K4" s="2" cm="1">
        <f t="array" ref="K4">GEMW(OpData_DemoProj_A7!$G$18:$G$21,sonARMS_Demo_Day!$J$43:$J$46)</f>
        <v>-99</v>
      </c>
      <c r="L4" s="2">
        <f>F4+10*LOG(OpData_DemoProj_A7!B$15+3*OpData_DemoProj_A7!B$16)+3*LOG(SUM(OpData_DemoProj_A7!B$18:B$21))-44</f>
        <v>60.473398754275365</v>
      </c>
      <c r="M4" s="2">
        <f>IF(G4=-99,0,G4+10*LOG(OpData_DemoProj_A7!C$15+3*OpData_DemoProj_A7!C$16)+3*LOG(SUM(OpData_DemoProj_A7!C$18:C$21))-44)</f>
        <v>0</v>
      </c>
      <c r="N4" s="2">
        <f>IF(H4=-99,0,H4+10*LOG(OpData_DemoProj_A7!D$15+3*OpData_DemoProj_A7!D$16)+3*LOG(SUM(OpData_DemoProj_A7!D$18:D$21))-44)</f>
        <v>0</v>
      </c>
      <c r="O4" s="2">
        <f>IF(I4=-99,0,I4+10*LOG(OpData_DemoProj_A7!E$15+3*OpData_DemoProj_A7!E$16)+3*LOG(SUM(OpData_DemoProj_A7!E$18:E$21))-44)</f>
        <v>0</v>
      </c>
      <c r="P4" s="2">
        <f>IF(J4=-99,0,J4+10*LOG(OpData_DemoProj_A7!F$15+3*OpData_DemoProj_A7!F$16)+3*LOG(SUM(OpData_DemoProj_A7!F$18:F$21))-44)</f>
        <v>0</v>
      </c>
      <c r="Q4" s="2">
        <f>IF(K4=-99,0,K4+10*LOG(OpData_DemoProj_A7!G$15+3*OpData_DemoProj_A7!G$16)+3*LOG(SUM(OpData_DemoProj_A7!G$18:G$21))-44)</f>
        <v>0</v>
      </c>
      <c r="R4" s="4" cm="1">
        <f t="array" ref="R4">esm(L4:Q4)</f>
        <v>60.473418226405641</v>
      </c>
      <c r="V4">
        <v>726653</v>
      </c>
    </row>
    <row r="5" spans="1:28" x14ac:dyDescent="0.25">
      <c r="A5" t="s">
        <v>39</v>
      </c>
      <c r="B5">
        <v>716527.3</v>
      </c>
      <c r="C5">
        <v>248041</v>
      </c>
      <c r="D5">
        <v>4</v>
      </c>
      <c r="E5">
        <v>715459</v>
      </c>
      <c r="F5" s="2" cm="1">
        <f t="array" ref="F5">GEMW(OpData_DemoProj_A7!$B$18:$B$21,sonARMS_Demo_Day!$J$47:$J$50)</f>
        <v>70.229646018420524</v>
      </c>
      <c r="G5" s="2" cm="1">
        <f t="array" ref="G5">GEMW(OpData_DemoProj_A7!$C$18:$C$21,sonARMS_Demo_Day!$J$47:$J$50)</f>
        <v>-99</v>
      </c>
      <c r="H5" s="2" cm="1">
        <f t="array" ref="H5">GEMW(OpData_DemoProj_A7!$D$18:$D$21,sonARMS_Demo_Day!$J$47:$J$50)</f>
        <v>-99</v>
      </c>
      <c r="I5" s="2" cm="1">
        <f t="array" ref="I5">GEMW(OpData_DemoProj_A7!$E$18:$E$21,sonARMS_Demo_Day!$J$47:$J$50)</f>
        <v>-99</v>
      </c>
      <c r="J5" s="2" cm="1">
        <f t="array" ref="J5">GEMW(OpData_DemoProj_A7!$F$18:$F$21,sonARMS_Demo_Day!$J$47:$J$50)</f>
        <v>-99</v>
      </c>
      <c r="K5" s="2" cm="1">
        <f t="array" ref="K5">GEMW(OpData_DemoProj_A7!$G$18:$G$21,sonARMS_Demo_Day!$J$47:$J$50)</f>
        <v>-99</v>
      </c>
      <c r="L5" s="2">
        <f>F5+10*LOG(OpData_DemoProj_A7!B$15+3*OpData_DemoProj_A7!B$16)+3*LOG(SUM(OpData_DemoProj_A7!B$18:B$21))-44</f>
        <v>53.064426462826958</v>
      </c>
      <c r="M5" s="2">
        <f>IF(G5=-99,0,G5+10*LOG(OpData_DemoProj_A7!C$15+3*OpData_DemoProj_A7!C$16)+3*LOG(SUM(OpData_DemoProj_A7!C$18:C$21))-44)</f>
        <v>0</v>
      </c>
      <c r="N5" s="2">
        <f>IF(H5=-99,0,H5+10*LOG(OpData_DemoProj_A7!D$15+3*OpData_DemoProj_A7!D$16)+3*LOG(SUM(OpData_DemoProj_A7!D$18:D$21))-44)</f>
        <v>0</v>
      </c>
      <c r="O5" s="2">
        <f>IF(I5=-99,0,I5+10*LOG(OpData_DemoProj_A7!E$15+3*OpData_DemoProj_A7!E$16)+3*LOG(SUM(OpData_DemoProj_A7!E$18:E$21))-44)</f>
        <v>0</v>
      </c>
      <c r="P5" s="2">
        <f>IF(J5=-99,0,J5+10*LOG(OpData_DemoProj_A7!F$15+3*OpData_DemoProj_A7!F$16)+3*LOG(SUM(OpData_DemoProj_A7!F$18:F$21))-44)</f>
        <v>0</v>
      </c>
      <c r="Q5" s="2">
        <f>IF(K5=-99,0,K5+10*LOG(OpData_DemoProj_A7!G$15+3*OpData_DemoProj_A7!G$16)+3*LOG(SUM(OpData_DemoProj_A7!G$18:G$21))-44)</f>
        <v>0</v>
      </c>
      <c r="R5" s="4" cm="1">
        <f t="array" ref="R5">esm(L5:Q5)</f>
        <v>53.064533690358417</v>
      </c>
      <c r="V5">
        <v>715459</v>
      </c>
    </row>
    <row r="6" spans="1:28" x14ac:dyDescent="0.25">
      <c r="A6" t="s">
        <v>40</v>
      </c>
      <c r="B6">
        <v>716527.3</v>
      </c>
      <c r="C6">
        <v>248041</v>
      </c>
      <c r="D6">
        <v>8</v>
      </c>
      <c r="E6">
        <v>715459</v>
      </c>
      <c r="F6" s="2" cm="1">
        <f t="array" ref="F6">GEMW(OpData_DemoProj_A7!$B$18:$B$21,sonARMS_Demo_Day!$J$51:$J$54)</f>
        <v>69.587118045418592</v>
      </c>
      <c r="G6" s="2" cm="1">
        <f t="array" ref="G6">GEMW(OpData_DemoProj_A7!$C$18:$C$21,sonARMS_Demo_Day!$J$51:$J$54)</f>
        <v>-99</v>
      </c>
      <c r="H6" s="2" cm="1">
        <f t="array" ref="H6">GEMW(OpData_DemoProj_A7!$D$18:$D$21,sonARMS_Demo_Day!$J$51:$J$54)</f>
        <v>-99</v>
      </c>
      <c r="I6" s="2" cm="1">
        <f t="array" ref="I6">GEMW(OpData_DemoProj_A7!$E$18:$E$21,sonARMS_Demo_Day!$J$51:$J$54)</f>
        <v>-99</v>
      </c>
      <c r="J6" s="2" cm="1">
        <f t="array" ref="J6">GEMW(OpData_DemoProj_A7!$F$18:$F$21,sonARMS_Demo_Day!$J$51:$J$54)</f>
        <v>-99</v>
      </c>
      <c r="K6" s="2" cm="1">
        <f t="array" ref="K6">GEMW(OpData_DemoProj_A7!$G$18:$G$21,sonARMS_Demo_Day!$J$51:$J$54)</f>
        <v>-99</v>
      </c>
      <c r="L6" s="2">
        <f>F6+10*LOG(OpData_DemoProj_A7!B$15+3*OpData_DemoProj_A7!B$16)+3*LOG(SUM(OpData_DemoProj_A7!B$18:B$21))-44</f>
        <v>52.421898489825026</v>
      </c>
      <c r="M6" s="2">
        <f>IF(G6=-99,0,G6+10*LOG(OpData_DemoProj_A7!C$15+3*OpData_DemoProj_A7!C$16)+3*LOG(SUM(OpData_DemoProj_A7!C$18:C$21))-44)</f>
        <v>0</v>
      </c>
      <c r="N6" s="2">
        <f>IF(H6=-99,0,H6+10*LOG(OpData_DemoProj_A7!D$15+3*OpData_DemoProj_A7!D$16)+3*LOG(SUM(OpData_DemoProj_A7!D$18:D$21))-44)</f>
        <v>0</v>
      </c>
      <c r="O6" s="2">
        <f>IF(I6=-99,0,I6+10*LOG(OpData_DemoProj_A7!E$15+3*OpData_DemoProj_A7!E$16)+3*LOG(SUM(OpData_DemoProj_A7!E$18:E$21))-44)</f>
        <v>0</v>
      </c>
      <c r="P6" s="2">
        <f>IF(J6=-99,0,J6+10*LOG(OpData_DemoProj_A7!F$15+3*OpData_DemoProj_A7!F$16)+3*LOG(SUM(OpData_DemoProj_A7!F$18:F$21))-44)</f>
        <v>0</v>
      </c>
      <c r="Q6" s="2">
        <f>IF(K6=-99,0,K6+10*LOG(OpData_DemoProj_A7!G$15+3*OpData_DemoProj_A7!G$16)+3*LOG(SUM(OpData_DemoProj_A7!G$18:G$21))-44)</f>
        <v>0</v>
      </c>
      <c r="R6" s="4" cm="1">
        <f t="array" ref="R6">esm(L6:Q6)</f>
        <v>52.422022814762755</v>
      </c>
      <c r="V6">
        <v>715459</v>
      </c>
    </row>
    <row r="7" spans="1:28" x14ac:dyDescent="0.25">
      <c r="A7" t="s">
        <v>41</v>
      </c>
      <c r="B7">
        <v>716527.3</v>
      </c>
      <c r="C7">
        <v>248041</v>
      </c>
      <c r="D7">
        <v>12</v>
      </c>
      <c r="E7">
        <v>715459</v>
      </c>
      <c r="F7" s="2" cm="1">
        <f t="array" ref="F7">GEMW(OpData_DemoProj_A7!$B$18:$B$21,sonARMS_Demo_Day!$J$55:$J$58)</f>
        <v>69.852555462844307</v>
      </c>
      <c r="G7" s="2" cm="1">
        <f t="array" ref="G7">GEMW(OpData_DemoProj_A7!$C$18:$C$21,sonARMS_Demo_Day!$J$55:$J$58)</f>
        <v>-99</v>
      </c>
      <c r="H7" s="2" cm="1">
        <f t="array" ref="H7">GEMW(OpData_DemoProj_A7!$D$18:$D$21,sonARMS_Demo_Day!$J$55:$J$58)</f>
        <v>-99</v>
      </c>
      <c r="I7" s="2" cm="1">
        <f t="array" ref="I7">GEMW(OpData_DemoProj_A7!$E$18:$E$21,sonARMS_Demo_Day!$J$55:$J$58)</f>
        <v>-99</v>
      </c>
      <c r="J7" s="2" cm="1">
        <f t="array" ref="J7">GEMW(OpData_DemoProj_A7!$F$18:$F$21,sonARMS_Demo_Day!$J$55:$J$58)</f>
        <v>-99</v>
      </c>
      <c r="K7" s="2" cm="1">
        <f t="array" ref="K7">GEMW(OpData_DemoProj_A7!$G$18:$G$21,sonARMS_Demo_Day!$J$55:$J$58)</f>
        <v>-99</v>
      </c>
      <c r="L7" s="2">
        <f>F7+10*LOG(OpData_DemoProj_A7!B$15+3*OpData_DemoProj_A7!B$16)+3*LOG(SUM(OpData_DemoProj_A7!B$18:B$21))-44</f>
        <v>52.687335907250741</v>
      </c>
      <c r="M7" s="2">
        <f>IF(G7=-99,0,G7+10*LOG(OpData_DemoProj_A7!C$15+3*OpData_DemoProj_A7!C$16)+3*LOG(SUM(OpData_DemoProj_A7!C$18:C$21))-44)</f>
        <v>0</v>
      </c>
      <c r="N7" s="2">
        <f>IF(H7=-99,0,H7+10*LOG(OpData_DemoProj_A7!D$15+3*OpData_DemoProj_A7!D$16)+3*LOG(SUM(OpData_DemoProj_A7!D$18:D$21))-44)</f>
        <v>0</v>
      </c>
      <c r="O7" s="2">
        <f>IF(I7=-99,0,I7+10*LOG(OpData_DemoProj_A7!E$15+3*OpData_DemoProj_A7!E$16)+3*LOG(SUM(OpData_DemoProj_A7!E$18:E$21))-44)</f>
        <v>0</v>
      </c>
      <c r="P7" s="2">
        <f>IF(J7=-99,0,J7+10*LOG(OpData_DemoProj_A7!F$15+3*OpData_DemoProj_A7!F$16)+3*LOG(SUM(OpData_DemoProj_A7!F$18:F$21))-44)</f>
        <v>0</v>
      </c>
      <c r="Q7" s="2">
        <f>IF(K7=-99,0,K7+10*LOG(OpData_DemoProj_A7!G$15+3*OpData_DemoProj_A7!G$16)+3*LOG(SUM(OpData_DemoProj_A7!G$18:G$21))-44)</f>
        <v>0</v>
      </c>
      <c r="R7" s="4" cm="1">
        <f t="array" ref="R7">esm(L7:Q7)</f>
        <v>52.687452861196149</v>
      </c>
      <c r="V7">
        <v>715459</v>
      </c>
    </row>
    <row r="8" spans="1:28" x14ac:dyDescent="0.25">
      <c r="A8" t="s">
        <v>42</v>
      </c>
      <c r="B8">
        <v>716373.4</v>
      </c>
      <c r="C8">
        <v>248261.6</v>
      </c>
      <c r="D8">
        <v>4</v>
      </c>
      <c r="E8">
        <v>702381</v>
      </c>
      <c r="F8" s="2" cm="1">
        <f t="array" ref="F8">GEMW(OpData_DemoProj_A7!$B$18:$B$21,sonARMS_Demo_Day!$J$59:$J$62)</f>
        <v>89.110914057266427</v>
      </c>
      <c r="G8" s="2" cm="1">
        <f t="array" ref="G8">GEMW(OpData_DemoProj_A7!$C$18:$C$21,sonARMS_Demo_Day!$J$59:$J$62)</f>
        <v>-99</v>
      </c>
      <c r="H8" s="2" cm="1">
        <f t="array" ref="H8">GEMW(OpData_DemoProj_A7!$D$18:$D$21,sonARMS_Demo_Day!$J$59:$J$62)</f>
        <v>-99</v>
      </c>
      <c r="I8" s="2" cm="1">
        <f t="array" ref="I8">GEMW(OpData_DemoProj_A7!$E$18:$E$21,sonARMS_Demo_Day!$J$59:$J$62)</f>
        <v>-99</v>
      </c>
      <c r="J8" s="2" cm="1">
        <f t="array" ref="J8">GEMW(OpData_DemoProj_A7!$F$18:$F$21,sonARMS_Demo_Day!$J$59:$J$62)</f>
        <v>-99</v>
      </c>
      <c r="K8" s="2" cm="1">
        <f t="array" ref="K8">GEMW(OpData_DemoProj_A7!$G$18:$G$21,sonARMS_Demo_Day!$J$59:$J$62)</f>
        <v>-99</v>
      </c>
      <c r="L8" s="2">
        <f>F8+10*LOG(OpData_DemoProj_A7!B$15+3*OpData_DemoProj_A7!B$16)+3*LOG(SUM(OpData_DemoProj_A7!B$18:B$21))-44</f>
        <v>71.945694501672875</v>
      </c>
      <c r="M8" s="2">
        <f>IF(G8=-99,0,G8+10*LOG(OpData_DemoProj_A7!C$15+3*OpData_DemoProj_A7!C$16)+3*LOG(SUM(OpData_DemoProj_A7!C$18:C$21))-44)</f>
        <v>0</v>
      </c>
      <c r="N8" s="2">
        <f>IF(H8=-99,0,H8+10*LOG(OpData_DemoProj_A7!D$15+3*OpData_DemoProj_A7!D$16)+3*LOG(SUM(OpData_DemoProj_A7!D$18:D$21))-44)</f>
        <v>0</v>
      </c>
      <c r="O8" s="2">
        <f>IF(I8=-99,0,I8+10*LOG(OpData_DemoProj_A7!E$15+3*OpData_DemoProj_A7!E$16)+3*LOG(SUM(OpData_DemoProj_A7!E$18:E$21))-44)</f>
        <v>0</v>
      </c>
      <c r="P8" s="2">
        <f>IF(J8=-99,0,J8+10*LOG(OpData_DemoProj_A7!F$15+3*OpData_DemoProj_A7!F$16)+3*LOG(SUM(OpData_DemoProj_A7!F$18:F$21))-44)</f>
        <v>0</v>
      </c>
      <c r="Q8" s="2">
        <f>IF(K8=-99,0,K8+10*LOG(OpData_DemoProj_A7!G$15+3*OpData_DemoProj_A7!G$16)+3*LOG(SUM(OpData_DemoProj_A7!G$18:G$21))-44)</f>
        <v>0</v>
      </c>
      <c r="R8" s="4" cm="1">
        <f t="array" ref="R8">esm(L8:Q8)</f>
        <v>71.945695889018907</v>
      </c>
      <c r="V8">
        <v>702381</v>
      </c>
    </row>
    <row r="9" spans="1:28" x14ac:dyDescent="0.25">
      <c r="A9" t="s">
        <v>43</v>
      </c>
      <c r="B9">
        <v>716373.4</v>
      </c>
      <c r="C9">
        <v>248261.6</v>
      </c>
      <c r="D9">
        <v>8</v>
      </c>
      <c r="E9">
        <v>702381</v>
      </c>
      <c r="F9" s="2" cm="1">
        <f t="array" ref="F9">GEMW(OpData_DemoProj_A7!$B$18:$B$21,sonARMS_Demo_Day!$J$63:$J$66)</f>
        <v>90.415506295410793</v>
      </c>
      <c r="G9" s="2" cm="1">
        <f t="array" ref="G9">GEMW(OpData_DemoProj_A7!$C$18:$C$21,sonARMS_Demo_Day!$J$63:$J$66)</f>
        <v>-99</v>
      </c>
      <c r="H9" s="2" cm="1">
        <f t="array" ref="H9">GEMW(OpData_DemoProj_A7!$D$18:$D$21,sonARMS_Demo_Day!$J$63:$J$66)</f>
        <v>-99</v>
      </c>
      <c r="I9" s="2" cm="1">
        <f t="array" ref="I9">GEMW(OpData_DemoProj_A7!$E$18:$E$21,sonARMS_Demo_Day!$J$63:$J$66)</f>
        <v>-99</v>
      </c>
      <c r="J9" s="2" cm="1">
        <f t="array" ref="J9">GEMW(OpData_DemoProj_A7!$F$18:$F$21,sonARMS_Demo_Day!$J$63:$J$66)</f>
        <v>-99</v>
      </c>
      <c r="K9" s="2" cm="1">
        <f t="array" ref="K9">GEMW(OpData_DemoProj_A7!$G$18:$G$21,sonARMS_Demo_Day!$J$63:$J$66)</f>
        <v>-99</v>
      </c>
      <c r="L9" s="2">
        <f>F9+10*LOG(OpData_DemoProj_A7!B$15+3*OpData_DemoProj_A7!B$16)+3*LOG(SUM(OpData_DemoProj_A7!B$18:B$21))-44</f>
        <v>73.250286739817227</v>
      </c>
      <c r="M9" s="2">
        <f>IF(G9=-99,0,G9+10*LOG(OpData_DemoProj_A7!C$15+3*OpData_DemoProj_A7!C$16)+3*LOG(SUM(OpData_DemoProj_A7!C$18:C$21))-44)</f>
        <v>0</v>
      </c>
      <c r="N9" s="2">
        <f>IF(H9=-99,0,H9+10*LOG(OpData_DemoProj_A7!D$15+3*OpData_DemoProj_A7!D$16)+3*LOG(SUM(OpData_DemoProj_A7!D$18:D$21))-44)</f>
        <v>0</v>
      </c>
      <c r="O9" s="2">
        <f>IF(I9=-99,0,I9+10*LOG(OpData_DemoProj_A7!E$15+3*OpData_DemoProj_A7!E$16)+3*LOG(SUM(OpData_DemoProj_A7!E$18:E$21))-44)</f>
        <v>0</v>
      </c>
      <c r="P9" s="2">
        <f>IF(J9=-99,0,J9+10*LOG(OpData_DemoProj_A7!F$15+3*OpData_DemoProj_A7!F$16)+3*LOG(SUM(OpData_DemoProj_A7!F$18:F$21))-44)</f>
        <v>0</v>
      </c>
      <c r="Q9" s="2">
        <f>IF(K9=-99,0,K9+10*LOG(OpData_DemoProj_A7!G$15+3*OpData_DemoProj_A7!G$16)+3*LOG(SUM(OpData_DemoProj_A7!G$18:G$21))-44)</f>
        <v>0</v>
      </c>
      <c r="R9" s="4" cm="1">
        <f t="array" ref="R9">esm(L9:Q9)</f>
        <v>73.250287767184176</v>
      </c>
      <c r="V9">
        <v>702381</v>
      </c>
    </row>
    <row r="10" spans="1:28" x14ac:dyDescent="0.25">
      <c r="A10" t="s">
        <v>44</v>
      </c>
      <c r="B10">
        <v>716043.3</v>
      </c>
      <c r="C10">
        <v>248216.3</v>
      </c>
      <c r="D10">
        <v>4</v>
      </c>
      <c r="E10">
        <v>696347</v>
      </c>
      <c r="F10" s="2" cm="1">
        <f t="array" ref="F10">GEMW(OpData_DemoProj_A7!$B$18:$B$21,sonARMS_Demo_Day!$J$67:$J$70)</f>
        <v>81.598635755774495</v>
      </c>
      <c r="G10" s="2" cm="1">
        <f t="array" ref="G10">GEMW(OpData_DemoProj_A7!$C$18:$C$21,sonARMS_Demo_Day!$J$67:$J$70)</f>
        <v>-99</v>
      </c>
      <c r="H10" s="2" cm="1">
        <f t="array" ref="H10">GEMW(OpData_DemoProj_A7!$D$18:$D$21,sonARMS_Demo_Day!$J$67:$J$70)</f>
        <v>-99</v>
      </c>
      <c r="I10" s="2" cm="1">
        <f t="array" ref="I10">GEMW(OpData_DemoProj_A7!$E$18:$E$21,sonARMS_Demo_Day!$J$67:$J$70)</f>
        <v>-99</v>
      </c>
      <c r="J10" s="2" cm="1">
        <f t="array" ref="J10">GEMW(OpData_DemoProj_A7!$F$18:$F$21,sonARMS_Demo_Day!$J$67:$J$70)</f>
        <v>-99</v>
      </c>
      <c r="K10" s="2" cm="1">
        <f t="array" ref="K10">GEMW(OpData_DemoProj_A7!$G$18:$G$21,sonARMS_Demo_Day!$J$67:$J$70)</f>
        <v>-99</v>
      </c>
      <c r="L10" s="2">
        <f>F10+10*LOG(OpData_DemoProj_A7!B$15+3*OpData_DemoProj_A7!B$16)+3*LOG(SUM(OpData_DemoProj_A7!B$18:B$21))-44</f>
        <v>64.433416200180943</v>
      </c>
      <c r="M10" s="2">
        <f>IF(G10=-99,0,G10+10*LOG(OpData_DemoProj_A7!C$15+3*OpData_DemoProj_A7!C$16)+3*LOG(SUM(OpData_DemoProj_A7!C$18:C$21))-44)</f>
        <v>0</v>
      </c>
      <c r="N10" s="2">
        <f>IF(H10=-99,0,H10+10*LOG(OpData_DemoProj_A7!D$15+3*OpData_DemoProj_A7!D$16)+3*LOG(SUM(OpData_DemoProj_A7!D$18:D$21))-44)</f>
        <v>0</v>
      </c>
      <c r="O10" s="2">
        <f>IF(I10=-99,0,I10+10*LOG(OpData_DemoProj_A7!E$15+3*OpData_DemoProj_A7!E$16)+3*LOG(SUM(OpData_DemoProj_A7!E$18:E$21))-44)</f>
        <v>0</v>
      </c>
      <c r="P10" s="2">
        <f>IF(J10=-99,0,J10+10*LOG(OpData_DemoProj_A7!F$15+3*OpData_DemoProj_A7!F$16)+3*LOG(SUM(OpData_DemoProj_A7!F$18:F$21))-44)</f>
        <v>0</v>
      </c>
      <c r="Q10" s="2">
        <f>IF(K10=-99,0,K10+10*LOG(OpData_DemoProj_A7!G$15+3*OpData_DemoProj_A7!G$16)+3*LOG(SUM(OpData_DemoProj_A7!G$18:G$21))-44)</f>
        <v>0</v>
      </c>
      <c r="R10" s="4" cm="1">
        <f t="array" ref="R10">esm(L10:Q10)</f>
        <v>64.43342402388302</v>
      </c>
      <c r="V10">
        <v>696347</v>
      </c>
    </row>
    <row r="11" spans="1:28" x14ac:dyDescent="0.25">
      <c r="A11" t="s">
        <v>45</v>
      </c>
      <c r="B11">
        <v>715848.8</v>
      </c>
      <c r="C11">
        <v>248571.1</v>
      </c>
      <c r="D11">
        <v>4</v>
      </c>
      <c r="E11">
        <v>710249</v>
      </c>
      <c r="F11" s="2" cm="1">
        <f t="array" ref="F11">GEMW(OpData_DemoProj_A7!$B$18:$B$21,sonARMS_Demo_Day!$J$71:$J$74)</f>
        <v>61.25889739588002</v>
      </c>
      <c r="G11" s="2" cm="1">
        <f t="array" ref="G11">GEMW(OpData_DemoProj_A7!$C$18:$C$21,sonARMS_Demo_Day!$J$71:$J$74)</f>
        <v>-99</v>
      </c>
      <c r="H11" s="2" cm="1">
        <f t="array" ref="H11">GEMW(OpData_DemoProj_A7!$D$18:$D$21,sonARMS_Demo_Day!$J$71:$J$74)</f>
        <v>-99</v>
      </c>
      <c r="I11" s="2" cm="1">
        <f t="array" ref="I11">GEMW(OpData_DemoProj_A7!$E$18:$E$21,sonARMS_Demo_Day!$J$71:$J$74)</f>
        <v>-99</v>
      </c>
      <c r="J11" s="2" cm="1">
        <f t="array" ref="J11">GEMW(OpData_DemoProj_A7!$F$18:$F$21,sonARMS_Demo_Day!$J$71:$J$74)</f>
        <v>-99</v>
      </c>
      <c r="K11" s="2" cm="1">
        <f t="array" ref="K11">GEMW(OpData_DemoProj_A7!$G$18:$G$21,sonARMS_Demo_Day!$J$71:$J$74)</f>
        <v>-99</v>
      </c>
      <c r="L11" s="2">
        <f>F11+10*LOG(OpData_DemoProj_A7!B$15+3*OpData_DemoProj_A7!B$16)+3*LOG(SUM(OpData_DemoProj_A7!B$18:B$21))-44</f>
        <v>44.09367784028646</v>
      </c>
      <c r="M11" s="2">
        <f>IF(G11=-99,0,G11+10*LOG(OpData_DemoProj_A7!C$15+3*OpData_DemoProj_A7!C$16)+3*LOG(SUM(OpData_DemoProj_A7!C$18:C$21))-44)</f>
        <v>0</v>
      </c>
      <c r="N11" s="2">
        <f>IF(H11=-99,0,H11+10*LOG(OpData_DemoProj_A7!D$15+3*OpData_DemoProj_A7!D$16)+3*LOG(SUM(OpData_DemoProj_A7!D$18:D$21))-44)</f>
        <v>0</v>
      </c>
      <c r="O11" s="2">
        <f>IF(I11=-99,0,I11+10*LOG(OpData_DemoProj_A7!E$15+3*OpData_DemoProj_A7!E$16)+3*LOG(SUM(OpData_DemoProj_A7!E$18:E$21))-44)</f>
        <v>0</v>
      </c>
      <c r="P11" s="2">
        <f>IF(J11=-99,0,J11+10*LOG(OpData_DemoProj_A7!F$15+3*OpData_DemoProj_A7!F$16)+3*LOG(SUM(OpData_DemoProj_A7!F$18:F$21))-44)</f>
        <v>0</v>
      </c>
      <c r="Q11" s="2">
        <f>IF(K11=-99,0,K11+10*LOG(OpData_DemoProj_A7!G$15+3*OpData_DemoProj_A7!G$16)+3*LOG(SUM(OpData_DemoProj_A7!G$18:G$21))-44)</f>
        <v>0</v>
      </c>
      <c r="R11" s="4" cm="1">
        <f t="array" ref="R11">esm(L11:Q11)</f>
        <v>44.094523789387921</v>
      </c>
      <c r="V11">
        <v>710249</v>
      </c>
    </row>
    <row r="12" spans="1:28" x14ac:dyDescent="0.25">
      <c r="A12" t="s">
        <v>46</v>
      </c>
      <c r="B12">
        <v>716482.9</v>
      </c>
      <c r="C12">
        <v>249015.2</v>
      </c>
      <c r="D12">
        <v>4</v>
      </c>
      <c r="E12">
        <v>691176</v>
      </c>
      <c r="F12" s="2" cm="1">
        <f t="array" ref="F12">GEMW(OpData_DemoProj_A7!$B$18:$B$21,sonARMS_Demo_Day!$J$75:$J$78)</f>
        <v>45.211531130728623</v>
      </c>
      <c r="G12" s="2" cm="1">
        <f t="array" ref="G12">GEMW(OpData_DemoProj_A7!$C$18:$C$21,sonARMS_Demo_Day!$J$75:$J$78)</f>
        <v>-99</v>
      </c>
      <c r="H12" s="2" cm="1">
        <f t="array" ref="H12">GEMW(OpData_DemoProj_A7!$D$18:$D$21,sonARMS_Demo_Day!$J$75:$J$78)</f>
        <v>-99</v>
      </c>
      <c r="I12" s="2" cm="1">
        <f t="array" ref="I12">GEMW(OpData_DemoProj_A7!$E$18:$E$21,sonARMS_Demo_Day!$J$75:$J$78)</f>
        <v>-99</v>
      </c>
      <c r="J12" s="2" cm="1">
        <f t="array" ref="J12">GEMW(OpData_DemoProj_A7!$F$18:$F$21,sonARMS_Demo_Day!$J$75:$J$78)</f>
        <v>-99</v>
      </c>
      <c r="K12" s="2" cm="1">
        <f t="array" ref="K12">GEMW(OpData_DemoProj_A7!$G$18:$G$21,sonARMS_Demo_Day!$J$75:$J$78)</f>
        <v>-99</v>
      </c>
      <c r="L12" s="2">
        <f>F12+10*LOG(OpData_DemoProj_A7!B$15+3*OpData_DemoProj_A7!B$16)+3*LOG(SUM(OpData_DemoProj_A7!B$18:B$21))-44</f>
        <v>28.046311575135064</v>
      </c>
      <c r="M12" s="2">
        <f>IF(G12=-99,0,G12+10*LOG(OpData_DemoProj_A7!C$15+3*OpData_DemoProj_A7!C$16)+3*LOG(SUM(OpData_DemoProj_A7!C$18:C$21))-44)</f>
        <v>0</v>
      </c>
      <c r="N12" s="2">
        <f>IF(H12=-99,0,H12+10*LOG(OpData_DemoProj_A7!D$15+3*OpData_DemoProj_A7!D$16)+3*LOG(SUM(OpData_DemoProj_A7!D$18:D$21))-44)</f>
        <v>0</v>
      </c>
      <c r="O12" s="2">
        <f>IF(I12=-99,0,I12+10*LOG(OpData_DemoProj_A7!E$15+3*OpData_DemoProj_A7!E$16)+3*LOG(SUM(OpData_DemoProj_A7!E$18:E$21))-44)</f>
        <v>0</v>
      </c>
      <c r="P12" s="2">
        <f>IF(J12=-99,0,J12+10*LOG(OpData_DemoProj_A7!F$15+3*OpData_DemoProj_A7!F$16)+3*LOG(SUM(OpData_DemoProj_A7!F$18:F$21))-44)</f>
        <v>0</v>
      </c>
      <c r="Q12" s="2">
        <f>IF(K12=-99,0,K12+10*LOG(OpData_DemoProj_A7!G$15+3*OpData_DemoProj_A7!G$16)+3*LOG(SUM(OpData_DemoProj_A7!G$18:G$21))-44)</f>
        <v>0</v>
      </c>
      <c r="R12" s="4" cm="1">
        <f t="array" ref="R12">esm(L12:Q12)</f>
        <v>28.080229257620129</v>
      </c>
      <c r="V12">
        <v>691176</v>
      </c>
    </row>
    <row r="13" spans="1:28" x14ac:dyDescent="0.25">
      <c r="A13" t="s">
        <v>47</v>
      </c>
      <c r="B13">
        <v>716688.1</v>
      </c>
      <c r="C13">
        <v>248550</v>
      </c>
      <c r="D13">
        <v>4</v>
      </c>
      <c r="E13">
        <v>697844</v>
      </c>
      <c r="F13" s="2" cm="1">
        <f t="array" ref="F13">GEMW(OpData_DemoProj_A7!$B$18:$B$21,sonARMS_Demo_Day!$J$79:$J$82)</f>
        <v>85.171911949189521</v>
      </c>
      <c r="G13" s="2" cm="1">
        <f t="array" ref="G13">GEMW(OpData_DemoProj_A7!$C$18:$C$21,sonARMS_Demo_Day!$J$79:$J$82)</f>
        <v>-99</v>
      </c>
      <c r="H13" s="2" cm="1">
        <f t="array" ref="H13">GEMW(OpData_DemoProj_A7!$D$18:$D$21,sonARMS_Demo_Day!$J$79:$J$82)</f>
        <v>-99</v>
      </c>
      <c r="I13" s="2" cm="1">
        <f t="array" ref="I13">GEMW(OpData_DemoProj_A7!$E$18:$E$21,sonARMS_Demo_Day!$J$79:$J$82)</f>
        <v>-99</v>
      </c>
      <c r="J13" s="2" cm="1">
        <f t="array" ref="J13">GEMW(OpData_DemoProj_A7!$F$18:$F$21,sonARMS_Demo_Day!$J$79:$J$82)</f>
        <v>-99</v>
      </c>
      <c r="K13" s="2" cm="1">
        <f t="array" ref="K13">GEMW(OpData_DemoProj_A7!$G$18:$G$21,sonARMS_Demo_Day!$J$79:$J$82)</f>
        <v>-99</v>
      </c>
      <c r="L13" s="2">
        <f>F13+10*LOG(OpData_DemoProj_A7!B$15+3*OpData_DemoProj_A7!B$16)+3*LOG(SUM(OpData_DemoProj_A7!B$18:B$21))-44</f>
        <v>68.006692393595955</v>
      </c>
      <c r="M13" s="2">
        <f>IF(G13=-99,0,G13+10*LOG(OpData_DemoProj_A7!C$15+3*OpData_DemoProj_A7!C$16)+3*LOG(SUM(OpData_DemoProj_A7!C$18:C$21))-44)</f>
        <v>0</v>
      </c>
      <c r="N13" s="2">
        <f>IF(H13=-99,0,H13+10*LOG(OpData_DemoProj_A7!D$15+3*OpData_DemoProj_A7!D$16)+3*LOG(SUM(OpData_DemoProj_A7!D$18:D$21))-44)</f>
        <v>0</v>
      </c>
      <c r="O13" s="2">
        <f>IF(I13=-99,0,I13+10*LOG(OpData_DemoProj_A7!E$15+3*OpData_DemoProj_A7!E$16)+3*LOG(SUM(OpData_DemoProj_A7!E$18:E$21))-44)</f>
        <v>0</v>
      </c>
      <c r="P13" s="2">
        <f>IF(J13=-99,0,J13+10*LOG(OpData_DemoProj_A7!F$15+3*OpData_DemoProj_A7!F$16)+3*LOG(SUM(OpData_DemoProj_A7!F$18:F$21))-44)</f>
        <v>0</v>
      </c>
      <c r="Q13" s="2">
        <f>IF(K13=-99,0,K13+10*LOG(OpData_DemoProj_A7!G$15+3*OpData_DemoProj_A7!G$16)+3*LOG(SUM(OpData_DemoProj_A7!G$18:G$21))-44)</f>
        <v>0</v>
      </c>
      <c r="R13" s="4" cm="1">
        <f t="array" ref="R13">esm(L13:Q13)</f>
        <v>68.00669582984716</v>
      </c>
      <c r="V13">
        <v>697844</v>
      </c>
    </row>
    <row r="14" spans="1:28" x14ac:dyDescent="0.25">
      <c r="A14" t="s">
        <v>338</v>
      </c>
    </row>
    <row r="16" spans="1:28" x14ac:dyDescent="0.25">
      <c r="A16" t="s">
        <v>439</v>
      </c>
    </row>
    <row r="17" spans="1:1" x14ac:dyDescent="0.25">
      <c r="A17" t="s">
        <v>438</v>
      </c>
    </row>
    <row r="18" spans="1:1" x14ac:dyDescent="0.25">
      <c r="A18" t="s">
        <v>437</v>
      </c>
    </row>
    <row r="19" spans="1:1" x14ac:dyDescent="0.25">
      <c r="A19" t="s">
        <v>414</v>
      </c>
    </row>
    <row r="20" spans="1:1" x14ac:dyDescent="0.25">
      <c r="A20" t="s">
        <v>413</v>
      </c>
    </row>
    <row r="21" spans="1:1" x14ac:dyDescent="0.25">
      <c r="A21" t="s">
        <v>436</v>
      </c>
    </row>
    <row r="22" spans="1:1" x14ac:dyDescent="0.25">
      <c r="A22" t="s">
        <v>435</v>
      </c>
    </row>
    <row r="23" spans="1:1" x14ac:dyDescent="0.25">
      <c r="A23" t="s">
        <v>408</v>
      </c>
    </row>
    <row r="24" spans="1:1" x14ac:dyDescent="0.25">
      <c r="A24" t="s">
        <v>410</v>
      </c>
    </row>
    <row r="25" spans="1:1" x14ac:dyDescent="0.25">
      <c r="A25" t="s">
        <v>408</v>
      </c>
    </row>
    <row r="26" spans="1:1" x14ac:dyDescent="0.25">
      <c r="A26" t="s">
        <v>434</v>
      </c>
    </row>
    <row r="27" spans="1:1" x14ac:dyDescent="0.25">
      <c r="A27" t="s">
        <v>408</v>
      </c>
    </row>
    <row r="28" spans="1:1" x14ac:dyDescent="0.25">
      <c r="A28" t="s">
        <v>407</v>
      </c>
    </row>
    <row r="29" spans="1:1" x14ac:dyDescent="0.25">
      <c r="A29" t="s">
        <v>433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Info</vt:lpstr>
      <vt:lpstr>sonARMS_Demo_Day</vt:lpstr>
      <vt:lpstr>sonARMS_Demo_Eve</vt:lpstr>
      <vt:lpstr>OpData_DemoProj_A9</vt:lpstr>
      <vt:lpstr>OpData_DemoProj_A7</vt:lpstr>
      <vt:lpstr>sonARMS_Demo_A9p</vt:lpstr>
      <vt:lpstr>sonARMS_Demo_A7p</vt:lpstr>
      <vt:lpstr>sonARMS_Demo_A9X</vt:lpstr>
      <vt:lpstr>sonARMS_Demo_A7X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Wunderli, Jean-Marc</dc:creator>
  <cp:lastModifiedBy>Kadelbach Philipp ARMASUISSE</cp:lastModifiedBy>
  <dcterms:created xsi:type="dcterms:W3CDTF">2025-09-05T13:06:59Z</dcterms:created>
  <dcterms:modified xsi:type="dcterms:W3CDTF">2026-03-18T07:18:13Z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a112399-b73b-40c1-8af2-919b124b9d91_Enabled">
    <vt:lpwstr>true</vt:lpwstr>
  </property>
  <property fmtid="{D5CDD505-2E9C-101B-9397-08002B2CF9AE}" pid="3" name="MSIP_Label_aa112399-b73b-40c1-8af2-919b124b9d91_SetDate">
    <vt:lpwstr>2026-03-18T07:18:01Z</vt:lpwstr>
  </property>
  <property fmtid="{D5CDD505-2E9C-101B-9397-08002B2CF9AE}" pid="4" name="MSIP_Label_aa112399-b73b-40c1-8af2-919b124b9d91_Method">
    <vt:lpwstr>Privileged</vt:lpwstr>
  </property>
  <property fmtid="{D5CDD505-2E9C-101B-9397-08002B2CF9AE}" pid="5" name="MSIP_Label_aa112399-b73b-40c1-8af2-919b124b9d91_Name">
    <vt:lpwstr>L2</vt:lpwstr>
  </property>
  <property fmtid="{D5CDD505-2E9C-101B-9397-08002B2CF9AE}" pid="6" name="MSIP_Label_aa112399-b73b-40c1-8af2-919b124b9d91_SiteId">
    <vt:lpwstr>6ae27add-8276-4a38-88c1-3a9c1f973767</vt:lpwstr>
  </property>
  <property fmtid="{D5CDD505-2E9C-101B-9397-08002B2CF9AE}" pid="7" name="MSIP_Label_aa112399-b73b-40c1-8af2-919b124b9d91_ActionId">
    <vt:lpwstr>72a113b9-04dd-499d-bb0f-2b4db63cd736</vt:lpwstr>
  </property>
  <property fmtid="{D5CDD505-2E9C-101B-9397-08002B2CF9AE}" pid="8" name="MSIP_Label_aa112399-b73b-40c1-8af2-919b124b9d91_ContentBits">
    <vt:lpwstr>0</vt:lpwstr>
  </property>
  <property fmtid="{D5CDD505-2E9C-101B-9397-08002B2CF9AE}" pid="9" name="MSIP_Label_aa112399-b73b-40c1-8af2-919b124b9d91_Tag">
    <vt:lpwstr>10, 0, 1, 1</vt:lpwstr>
  </property>
</Properties>
</file>